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ba22d593f620736/KS/T 泰國/網站/"/>
    </mc:Choice>
  </mc:AlternateContent>
  <xr:revisionPtr revIDLastSave="22" documentId="13_ncr:1_{7D140F64-EA87-44CB-A1D9-75F5E1B42974}" xr6:coauthVersionLast="47" xr6:coauthVersionMax="47" xr10:uidLastSave="{129CA9BE-5E3E-4135-8539-586D8EBBBE10}"/>
  <workbookProtection workbookAlgorithmName="SHA-512" workbookHashValue="4JzHpGsA/DwkaSFx44IIqbUnwHR+mZltcZMefR0z1ZrS2jmc4l1D66gehsngl2N4OHB/914V8OWASOhPI0XthQ==" workbookSaltValue="pQyLTKKvCCAkDjwlQdxfbQ==" workbookSpinCount="100000" lockStructure="1"/>
  <bookViews>
    <workbookView xWindow="-108" yWindow="-108" windowWidth="23256" windowHeight="12576" xr2:uid="{00000000-000D-0000-FFFF-FFFF00000000}"/>
  </bookViews>
  <sheets>
    <sheet name="時程表" sheetId="1" r:id="rId1"/>
    <sheet name="組織人員設定" sheetId="2" state="hidden" r:id="rId2"/>
    <sheet name="假日補班設定" sheetId="4" state="hidden" r:id="rId3"/>
    <sheet name="Setup" sheetId="7" state="hidden" r:id="rId4"/>
  </sheets>
  <definedNames>
    <definedName name="gantt_col">MATCH((DATE(YEAR(Start_Date),1,1)-WEEKDAY(DATE(YEAR(Start_Date),1,1),1)+1)+7*(INT((Start_Date-DATE(YEAR(Start_Date),1,1))/7)+1-1),時程表!$1:$1,0)</definedName>
    <definedName name="Language">Setup!$B$4</definedName>
    <definedName name="_xlnm.Print_Titles" localSheetId="0">時程表!$1:$3</definedName>
    <definedName name="skip_days">假日補班設定!$B$5:$B$999+假日補班設定!$D$5:$D$999</definedName>
    <definedName name="Start_Date">DATE(時程表!$D$1,時程表!$D$2,1)</definedName>
    <definedName name="Team_Members">OFFSET(組織人員設定!$C$5,,MATCH(時程表!$C1,Team_Name,0)-1,COUNTA(OFFSET(組織人員設定!$C$5,,MATCH(時程表!$C1,Team_Name,0)-1,65533,)),)</definedName>
    <definedName name="Team_Name">OFFSET(組織人員設定!$C$4,,,,COUNTA(組織人員設定!$C$4:$V$4))</definedName>
    <definedName name="工作天數">IF(時程表!C1="","",IF(Setup!$B$5="Yes",NETWORKDAYS(時程表!B1,時程表!C1,假日補班設定!$B$5:$B$48)+SUMPRODUCT(((時程表!B1&lt;=假日補班設定!$D$5:$D$48)*(時程表!C1&gt;假日補班設定!$D$5:$D$48))),時程表!C1-時程表!B1+1))</definedName>
    <definedName name="工作日">Setup!$B$5</definedName>
    <definedName name="例假日">COUNTIF(假日補班設定!$B$5:$B$999,時程表!A$2)</definedName>
    <definedName name="補上班">COUNTIF(假日補班設定!$D$5:$D$999,時程表!A$2)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6" i="1" l="1"/>
  <c r="G12" i="1"/>
  <c r="G15" i="1"/>
  <c r="G22" i="1"/>
  <c r="G18" i="1"/>
  <c r="G19" i="1"/>
  <c r="G20" i="1"/>
  <c r="G5" i="1"/>
  <c r="G6" i="1"/>
  <c r="G7" i="1"/>
  <c r="G8" i="1"/>
  <c r="G9" i="1"/>
  <c r="G10" i="1"/>
  <c r="G11" i="1"/>
  <c r="G13" i="1"/>
  <c r="G14" i="1"/>
  <c r="G17" i="1"/>
  <c r="G21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A6" i="7" l="1"/>
  <c r="G1" i="2" l="1"/>
  <c r="E1" i="2"/>
  <c r="F2" i="1" l="1"/>
  <c r="F1" i="1"/>
  <c r="C1" i="7" l="1"/>
  <c r="D6" i="7"/>
  <c r="E6" i="7"/>
  <c r="D58" i="7"/>
  <c r="E58" i="7"/>
  <c r="D55" i="7"/>
  <c r="E55" i="7"/>
  <c r="A5" i="7" l="1"/>
  <c r="A4" i="7"/>
  <c r="A3" i="7"/>
  <c r="C2" i="7"/>
  <c r="A2" i="7"/>
  <c r="A1" i="7"/>
  <c r="E4" i="4"/>
  <c r="C4" i="4"/>
  <c r="D4" i="4"/>
  <c r="B4" i="4"/>
  <c r="D3" i="4"/>
  <c r="B3" i="4"/>
  <c r="B2" i="4"/>
  <c r="B1" i="4"/>
  <c r="B4" i="2"/>
  <c r="B3" i="2"/>
  <c r="K2" i="2"/>
  <c r="B2" i="2"/>
  <c r="B1" i="2"/>
  <c r="C2" i="1" l="1"/>
  <c r="C1" i="1"/>
  <c r="A2" i="1"/>
  <c r="A1" i="1"/>
</calcChain>
</file>

<file path=xl/sharedStrings.xml><?xml version="1.0" encoding="utf-8"?>
<sst xmlns="http://schemas.openxmlformats.org/spreadsheetml/2006/main" count="343" uniqueCount="233">
  <si>
    <t>負責人</t>
    <phoneticPr fontId="2" type="noConversion"/>
  </si>
  <si>
    <t>工作項目</t>
    <phoneticPr fontId="2" type="noConversion"/>
  </si>
  <si>
    <t>組別(單位)人員設定表</t>
    <phoneticPr fontId="2" type="noConversion"/>
  </si>
  <si>
    <t>組別顏色</t>
    <phoneticPr fontId="2" type="noConversion"/>
  </si>
  <si>
    <t>工作類型</t>
    <phoneticPr fontId="2" type="noConversion"/>
  </si>
  <si>
    <t>例假日與補班設定表</t>
    <phoneticPr fontId="2" type="noConversion"/>
  </si>
  <si>
    <t>例假日</t>
    <phoneticPr fontId="2" type="noConversion"/>
  </si>
  <si>
    <t>補上班</t>
    <phoneticPr fontId="2" type="noConversion"/>
  </si>
  <si>
    <t>年/月/日</t>
    <phoneticPr fontId="2" type="noConversion"/>
  </si>
  <si>
    <t>負責組別</t>
    <phoneticPr fontId="2" type="noConversion"/>
  </si>
  <si>
    <t>專案名稱</t>
    <phoneticPr fontId="2" type="noConversion"/>
  </si>
  <si>
    <t>雙胞胎拔拔</t>
    <phoneticPr fontId="2" type="noConversion"/>
  </si>
  <si>
    <t>企劃</t>
  </si>
  <si>
    <t>企劃</t>
    <phoneticPr fontId="2" type="noConversion"/>
  </si>
  <si>
    <t>檔案名稱</t>
    <phoneticPr fontId="2" type="noConversion"/>
  </si>
  <si>
    <t>工作日設定</t>
    <phoneticPr fontId="2" type="noConversion"/>
  </si>
  <si>
    <t>年份</t>
    <phoneticPr fontId="2" type="noConversion"/>
  </si>
  <si>
    <t>月份</t>
    <phoneticPr fontId="2" type="noConversion"/>
  </si>
  <si>
    <t>檔案作者</t>
    <phoneticPr fontId="2" type="noConversion"/>
  </si>
  <si>
    <t>Excel 計畫時程管理表 - 功能設定表</t>
    <phoneticPr fontId="2" type="noConversion"/>
  </si>
  <si>
    <t>一般設定</t>
    <phoneticPr fontId="2" type="noConversion"/>
  </si>
  <si>
    <t>English</t>
    <phoneticPr fontId="2" type="noConversion"/>
  </si>
  <si>
    <t>繁體中文</t>
    <phoneticPr fontId="2" type="noConversion"/>
  </si>
  <si>
    <t>時程表</t>
    <phoneticPr fontId="2" type="noConversion"/>
  </si>
  <si>
    <t>時程表 - 專案名稱</t>
    <phoneticPr fontId="2" type="noConversion"/>
  </si>
  <si>
    <t>Project</t>
    <phoneticPr fontId="2" type="noConversion"/>
  </si>
  <si>
    <t>Project Leader</t>
    <phoneticPr fontId="2" type="noConversion"/>
  </si>
  <si>
    <t>專案負責人</t>
    <phoneticPr fontId="2" type="noConversion"/>
  </si>
  <si>
    <t>時程表 - 專案負責人</t>
    <phoneticPr fontId="2" type="noConversion"/>
  </si>
  <si>
    <t>時程表 - 年份</t>
    <phoneticPr fontId="2" type="noConversion"/>
  </si>
  <si>
    <t>時程表 - 月份</t>
    <phoneticPr fontId="2" type="noConversion"/>
  </si>
  <si>
    <t>Year</t>
    <phoneticPr fontId="2" type="noConversion"/>
  </si>
  <si>
    <t>Month</t>
    <phoneticPr fontId="2" type="noConversion"/>
  </si>
  <si>
    <t>起訖月份</t>
    <phoneticPr fontId="2" type="noConversion"/>
  </si>
  <si>
    <t>日期</t>
    <phoneticPr fontId="2" type="noConversion"/>
  </si>
  <si>
    <t>Date</t>
    <phoneticPr fontId="2" type="noConversion"/>
  </si>
  <si>
    <t>時程表 - 起訖月份</t>
    <phoneticPr fontId="2" type="noConversion"/>
  </si>
  <si>
    <t>時程表 - 日期</t>
    <phoneticPr fontId="2" type="noConversion"/>
  </si>
  <si>
    <t>時程表 - 工作類型</t>
    <phoneticPr fontId="2" type="noConversion"/>
  </si>
  <si>
    <t>Task mode</t>
    <phoneticPr fontId="2" type="noConversion"/>
  </si>
  <si>
    <t>Task</t>
    <phoneticPr fontId="2" type="noConversion"/>
  </si>
  <si>
    <t>時程表 - 工作項目</t>
    <phoneticPr fontId="2" type="noConversion"/>
  </si>
  <si>
    <t>時程表 - 負責組別</t>
    <phoneticPr fontId="2" type="noConversion"/>
  </si>
  <si>
    <t>Team</t>
    <phoneticPr fontId="2" type="noConversion"/>
  </si>
  <si>
    <t>時程表 - 負責人</t>
    <phoneticPr fontId="2" type="noConversion"/>
  </si>
  <si>
    <t>時程表 - 工期</t>
    <phoneticPr fontId="2" type="noConversion"/>
  </si>
  <si>
    <t>Owner</t>
    <phoneticPr fontId="2" type="noConversion"/>
  </si>
  <si>
    <t>時程表 - 起始日</t>
    <phoneticPr fontId="2" type="noConversion"/>
  </si>
  <si>
    <t>Start Date</t>
    <phoneticPr fontId="2" type="noConversion"/>
  </si>
  <si>
    <t>起始日</t>
    <phoneticPr fontId="2" type="noConversion"/>
  </si>
  <si>
    <t>日期格式</t>
    <phoneticPr fontId="2" type="noConversion"/>
  </si>
  <si>
    <t>m/d/yy;@</t>
    <phoneticPr fontId="2" type="noConversion"/>
  </si>
  <si>
    <t>yyyy/m/d</t>
    <phoneticPr fontId="2" type="noConversion"/>
  </si>
  <si>
    <t>時程表 - 週日</t>
    <phoneticPr fontId="2" type="noConversion"/>
  </si>
  <si>
    <t>時程表 - 週一</t>
    <phoneticPr fontId="2" type="noConversion"/>
  </si>
  <si>
    <t>時程表 - 週二</t>
    <phoneticPr fontId="2" type="noConversion"/>
  </si>
  <si>
    <t>時程表 - 週三</t>
    <phoneticPr fontId="2" type="noConversion"/>
  </si>
  <si>
    <t>時程表 - 週四</t>
    <phoneticPr fontId="2" type="noConversion"/>
  </si>
  <si>
    <t>時程表 - 週五</t>
    <phoneticPr fontId="2" type="noConversion"/>
  </si>
  <si>
    <t>時程表 - 週六</t>
    <phoneticPr fontId="2" type="noConversion"/>
  </si>
  <si>
    <t>Sun</t>
    <phoneticPr fontId="2" type="noConversion"/>
  </si>
  <si>
    <t>Mon</t>
    <phoneticPr fontId="2" type="noConversion"/>
  </si>
  <si>
    <t>Tue</t>
    <phoneticPr fontId="2" type="noConversion"/>
  </si>
  <si>
    <t>Web</t>
    <phoneticPr fontId="2" type="noConversion"/>
  </si>
  <si>
    <t>Thr</t>
    <phoneticPr fontId="2" type="noConversion"/>
  </si>
  <si>
    <t>Fri</t>
    <phoneticPr fontId="2" type="noConversion"/>
  </si>
  <si>
    <t>Sat</t>
    <phoneticPr fontId="2" type="noConversion"/>
  </si>
  <si>
    <t>日</t>
    <phoneticPr fontId="2" type="noConversion"/>
  </si>
  <si>
    <t>一</t>
    <phoneticPr fontId="2" type="noConversion"/>
  </si>
  <si>
    <t>二</t>
    <phoneticPr fontId="2" type="noConversion"/>
  </si>
  <si>
    <t>三</t>
    <phoneticPr fontId="2" type="noConversion"/>
  </si>
  <si>
    <t>四</t>
    <phoneticPr fontId="2" type="noConversion"/>
  </si>
  <si>
    <t>五</t>
    <phoneticPr fontId="2" type="noConversion"/>
  </si>
  <si>
    <t>六</t>
    <phoneticPr fontId="2" type="noConversion"/>
  </si>
  <si>
    <t>工作表名稱 - 時程表</t>
    <phoneticPr fontId="2" type="noConversion"/>
  </si>
  <si>
    <t>工作表名稱 - 組織人員設定</t>
    <phoneticPr fontId="2" type="noConversion"/>
  </si>
  <si>
    <t>工作表名稱 - 假日補班設定</t>
    <phoneticPr fontId="2" type="noConversion"/>
  </si>
  <si>
    <t>Schedule Plan</t>
    <phoneticPr fontId="2" type="noConversion"/>
  </si>
  <si>
    <t>Team Roster</t>
    <phoneticPr fontId="2" type="noConversion"/>
  </si>
  <si>
    <t>Holiday&amp;Work day</t>
    <phoneticPr fontId="2" type="noConversion"/>
  </si>
  <si>
    <t>假日補班設定</t>
  </si>
  <si>
    <t>組織人員設定</t>
  </si>
  <si>
    <t>時程表 - 檔案名稱</t>
    <phoneticPr fontId="2" type="noConversion"/>
  </si>
  <si>
    <t>時程表 - 檔案作者</t>
    <phoneticPr fontId="2" type="noConversion"/>
  </si>
  <si>
    <t>File Name</t>
    <phoneticPr fontId="2" type="noConversion"/>
  </si>
  <si>
    <t>File Author</t>
    <phoneticPr fontId="2" type="noConversion"/>
  </si>
  <si>
    <t>Antony Liaw</t>
    <phoneticPr fontId="2" type="noConversion"/>
  </si>
  <si>
    <t>版本</t>
    <phoneticPr fontId="2" type="noConversion"/>
  </si>
  <si>
    <t>時程表 - 檔案名稱標題</t>
    <phoneticPr fontId="2" type="noConversion"/>
  </si>
  <si>
    <t>時程表 - 檔案作者標題</t>
    <phoneticPr fontId="2" type="noConversion"/>
  </si>
  <si>
    <t>組織人員設定 - 工作表標題</t>
    <phoneticPr fontId="2" type="noConversion"/>
  </si>
  <si>
    <t>組織人員設定 - 工作表說明1</t>
    <phoneticPr fontId="2" type="noConversion"/>
  </si>
  <si>
    <t>組織人員設定 - 工作表說明2</t>
  </si>
  <si>
    <t>※本表最多可支援20個組別(單位)，每個組別(單位)內共可設定50個人。</t>
    <phoneticPr fontId="2" type="noConversion"/>
  </si>
  <si>
    <t>↓當您在「第三列」色彩區塊，填入自己想要的顏色後，點選「一鍵快速變色」，就能變更甘特圖的所有對應顏色。</t>
    <phoneticPr fontId="2" type="noConversion"/>
  </si>
  <si>
    <t>Team Member Setting</t>
    <phoneticPr fontId="2" type="noConversion"/>
  </si>
  <si>
    <t>*Support up to 20 Teams (Groups), each Teams (Groups) can be set up to a total of 50 members.</t>
    <phoneticPr fontId="2" type="noConversion"/>
  </si>
  <si>
    <t>文字區塊(Text Block)</t>
    <phoneticPr fontId="2" type="noConversion"/>
  </si>
  <si>
    <t>↓When you fill in the color you want in the "third column" color block, click "One-Click change color", you can change all the corresponding colors of Gantt chart.</t>
    <phoneticPr fontId="2" type="noConversion"/>
  </si>
  <si>
    <t>組織人員設定 - 按鈕名稱</t>
    <phoneticPr fontId="2" type="noConversion"/>
  </si>
  <si>
    <t>一鍵快速變色</t>
    <phoneticPr fontId="2" type="noConversion"/>
  </si>
  <si>
    <t>One-Click change color</t>
    <phoneticPr fontId="2" type="noConversion"/>
  </si>
  <si>
    <t>組織人員設定 - 組別顏色</t>
    <phoneticPr fontId="2" type="noConversion"/>
  </si>
  <si>
    <t>Team Color</t>
    <phoneticPr fontId="2" type="noConversion"/>
  </si>
  <si>
    <t>組織人員設定 - 組別名稱</t>
    <phoneticPr fontId="2" type="noConversion"/>
  </si>
  <si>
    <t>組織人員設定 - 組別人員</t>
    <phoneticPr fontId="2" type="noConversion"/>
  </si>
  <si>
    <t>組別名稱</t>
    <phoneticPr fontId="2" type="noConversion"/>
  </si>
  <si>
    <t>組別人員</t>
    <phoneticPr fontId="2" type="noConversion"/>
  </si>
  <si>
    <t>Members</t>
    <phoneticPr fontId="2" type="noConversion"/>
  </si>
  <si>
    <t>Holiday &amp; Adjusted work day</t>
    <phoneticPr fontId="2" type="noConversion"/>
  </si>
  <si>
    <t>Holiday</t>
    <phoneticPr fontId="2" type="noConversion"/>
  </si>
  <si>
    <t>Adjusted work day</t>
    <phoneticPr fontId="2" type="noConversion"/>
  </si>
  <si>
    <t>假日補班設定 - 組別顏色</t>
    <phoneticPr fontId="2" type="noConversion"/>
  </si>
  <si>
    <t>假日補班設定 - 工作表標題</t>
    <phoneticPr fontId="2" type="noConversion"/>
  </si>
  <si>
    <t>※請直接填入正確例假日或補上班的「年/月/日」即可，若日期不在專案時程內的項目，可自行修改或刪除唷。</t>
    <phoneticPr fontId="2" type="noConversion"/>
  </si>
  <si>
    <t>假日補班設定 - 工作表說明</t>
    <phoneticPr fontId="2" type="noConversion"/>
  </si>
  <si>
    <t>※Please at "Date field" input the correct Date Format "mm/dd/yyyy".</t>
    <phoneticPr fontId="2" type="noConversion"/>
  </si>
  <si>
    <t>假日補班設定 - 日期格式</t>
    <phoneticPr fontId="2" type="noConversion"/>
  </si>
  <si>
    <t>M/D/YY</t>
    <phoneticPr fontId="2" type="noConversion"/>
  </si>
  <si>
    <t>假日補班設定 - 假別名稱</t>
    <phoneticPr fontId="2" type="noConversion"/>
  </si>
  <si>
    <t>假日補班設定 - 補班原因</t>
    <phoneticPr fontId="2" type="noConversion"/>
  </si>
  <si>
    <t>假別名稱</t>
  </si>
  <si>
    <t>補班原因</t>
  </si>
  <si>
    <t>Holiday name</t>
    <phoneticPr fontId="2" type="noConversion"/>
  </si>
  <si>
    <t>Reason</t>
    <phoneticPr fontId="2" type="noConversion"/>
  </si>
  <si>
    <t>設定 - 工作表標題</t>
    <phoneticPr fontId="2" type="noConversion"/>
  </si>
  <si>
    <t>設定 - 一般設定</t>
    <phoneticPr fontId="2" type="noConversion"/>
  </si>
  <si>
    <t>設定 - 多國語言文字設定</t>
    <phoneticPr fontId="2" type="noConversion"/>
  </si>
  <si>
    <t>多國語言文字設定</t>
  </si>
  <si>
    <t>General settings</t>
    <phoneticPr fontId="2" type="noConversion"/>
  </si>
  <si>
    <t>Multi-language text setting</t>
    <phoneticPr fontId="2" type="noConversion"/>
  </si>
  <si>
    <t>Gantt Chart Excel Template - Setting</t>
    <phoneticPr fontId="2" type="noConversion"/>
  </si>
  <si>
    <t>設定 - 版本編號</t>
    <phoneticPr fontId="2" type="noConversion"/>
  </si>
  <si>
    <t>Version</t>
    <phoneticPr fontId="2" type="noConversion"/>
  </si>
  <si>
    <t>設定 - 語言設定</t>
    <phoneticPr fontId="2" type="noConversion"/>
  </si>
  <si>
    <t>Language</t>
    <phoneticPr fontId="2" type="noConversion"/>
  </si>
  <si>
    <t>語言設定</t>
    <phoneticPr fontId="2" type="noConversion"/>
  </si>
  <si>
    <t>設定 - 工作日設定</t>
    <phoneticPr fontId="2" type="noConversion"/>
  </si>
  <si>
    <t>Weekend</t>
    <phoneticPr fontId="2" type="noConversion"/>
  </si>
  <si>
    <t>繁體中文</t>
  </si>
  <si>
    <t>會議模式解鎖密碼</t>
    <phoneticPr fontId="2" type="noConversion"/>
  </si>
  <si>
    <t>設定 - 會議模式解鎖密碼</t>
    <phoneticPr fontId="2" type="noConversion"/>
  </si>
  <si>
    <t>Unlock "Meeting mode" password</t>
    <phoneticPr fontId="2" type="noConversion"/>
  </si>
  <si>
    <t>設定 - 輸入密碼視窗標題</t>
    <phoneticPr fontId="2" type="noConversion"/>
  </si>
  <si>
    <t>設定 - 輸入密碼視窗說明</t>
    <phoneticPr fontId="2" type="noConversion"/>
  </si>
  <si>
    <t>會議模式解鎖密碼驗證</t>
    <phoneticPr fontId="2" type="noConversion"/>
  </si>
  <si>
    <t>Unlock "Meeting mode" password verification</t>
    <phoneticPr fontId="2" type="noConversion"/>
  </si>
  <si>
    <t>設定 - 密碼錯誤視窗說明</t>
    <phoneticPr fontId="2" type="noConversion"/>
  </si>
  <si>
    <t>輸入的密碼錯誤，請重新再試！</t>
    <phoneticPr fontId="2" type="noConversion"/>
  </si>
  <si>
    <t>Wrong password. Please try again!</t>
    <phoneticPr fontId="2" type="noConversion"/>
  </si>
  <si>
    <t>設定 - 會議模式啟用提醒標題</t>
    <phoneticPr fontId="2" type="noConversion"/>
  </si>
  <si>
    <t>* Warning!</t>
    <phoneticPr fontId="2" type="noConversion"/>
  </si>
  <si>
    <t>※注意！</t>
    <phoneticPr fontId="2" type="noConversion"/>
  </si>
  <si>
    <t>設定 - 會議模式啟用提醒說明</t>
    <phoneticPr fontId="2" type="noConversion"/>
  </si>
  <si>
    <t>設定 - 會議模式按鈕 - 啟用</t>
    <phoneticPr fontId="2" type="noConversion"/>
  </si>
  <si>
    <t>設定 - 會議模式按鈕 - 解鎖</t>
    <phoneticPr fontId="2" type="noConversion"/>
  </si>
  <si>
    <t>解鎖會議模式</t>
    <phoneticPr fontId="2" type="noConversion"/>
  </si>
  <si>
    <t>啟用會議模式</t>
    <phoneticPr fontId="2" type="noConversion"/>
  </si>
  <si>
    <t>Enabled Meeting Mode</t>
    <phoneticPr fontId="2" type="noConversion"/>
  </si>
  <si>
    <t>設定 - 會議模式解鎖密碼標題</t>
    <phoneticPr fontId="2" type="noConversion"/>
  </si>
  <si>
    <t>Unlock Meeting Mode</t>
    <phoneticPr fontId="2" type="noConversion"/>
  </si>
  <si>
    <t>Unlock Meeting Mode password</t>
    <phoneticPr fontId="2" type="noConversion"/>
  </si>
  <si>
    <t>時程表 - 預估完成日</t>
    <phoneticPr fontId="2" type="noConversion"/>
  </si>
  <si>
    <t>時程表 - 實際完成日</t>
    <phoneticPr fontId="2" type="noConversion"/>
  </si>
  <si>
    <t>預估完成日</t>
    <phoneticPr fontId="2" type="noConversion"/>
  </si>
  <si>
    <t>實際完成日</t>
    <phoneticPr fontId="2" type="noConversion"/>
  </si>
  <si>
    <t>Actual Finish Date</t>
    <phoneticPr fontId="2" type="noConversion"/>
  </si>
  <si>
    <t>Estimated Finish Date</t>
    <phoneticPr fontId="2" type="noConversion"/>
  </si>
  <si>
    <t>時程表 - 主項目圖示</t>
    <phoneticPr fontId="2" type="noConversion"/>
  </si>
  <si>
    <t>時程表 - 子項目圖示</t>
    <phoneticPr fontId="2" type="noConversion"/>
  </si>
  <si>
    <t>主項目圖示</t>
    <phoneticPr fontId="2" type="noConversion"/>
  </si>
  <si>
    <t>子項目圖示</t>
    <phoneticPr fontId="2" type="noConversion"/>
  </si>
  <si>
    <t>Main Task Icon</t>
    <phoneticPr fontId="2" type="noConversion"/>
  </si>
  <si>
    <t>Sub Task Icon</t>
    <phoneticPr fontId="2" type="noConversion"/>
  </si>
  <si>
    <t>&gt;</t>
  </si>
  <si>
    <t>Year / Month</t>
    <phoneticPr fontId="2" type="noConversion"/>
  </si>
  <si>
    <t>前往 Kiwi LIFE 官網</t>
    <phoneticPr fontId="2" type="noConversion"/>
  </si>
  <si>
    <t>Kiwi LIFE Official Site</t>
    <phoneticPr fontId="2" type="noConversion"/>
  </si>
  <si>
    <t>Estimated Duration</t>
    <phoneticPr fontId="2" type="noConversion"/>
  </si>
  <si>
    <t>延遲格式</t>
    <phoneticPr fontId="2" type="noConversion"/>
  </si>
  <si>
    <t>提前格式</t>
    <phoneticPr fontId="2" type="noConversion"/>
  </si>
  <si>
    <t>←延遲格式</t>
    <phoneticPr fontId="2" type="noConversion"/>
  </si>
  <si>
    <t>←提前格式</t>
    <phoneticPr fontId="2" type="noConversion"/>
  </si>
  <si>
    <t>←Delay Format</t>
    <phoneticPr fontId="2" type="noConversion"/>
  </si>
  <si>
    <t>←Early Format</t>
    <phoneticPr fontId="2" type="noConversion"/>
  </si>
  <si>
    <t>預估工時</t>
    <phoneticPr fontId="2" type="noConversion"/>
  </si>
  <si>
    <t>●</t>
  </si>
  <si>
    <t>Yes</t>
  </si>
  <si>
    <t/>
  </si>
  <si>
    <t>甘特圖判定模式</t>
    <phoneticPr fontId="2" type="noConversion"/>
  </si>
  <si>
    <t>Gantt Chart Type</t>
    <phoneticPr fontId="2" type="noConversion"/>
  </si>
  <si>
    <t>v3.6</t>
    <phoneticPr fontId="2" type="noConversion"/>
  </si>
  <si>
    <t>泰國場域官網建置</t>
    <phoneticPr fontId="2" type="noConversion"/>
  </si>
  <si>
    <t>Kelly</t>
    <phoneticPr fontId="2" type="noConversion"/>
  </si>
  <si>
    <t>前端工程師</t>
    <phoneticPr fontId="2" type="noConversion"/>
  </si>
  <si>
    <t>後端工程師</t>
    <phoneticPr fontId="2" type="noConversion"/>
  </si>
  <si>
    <t>Alvin</t>
    <phoneticPr fontId="2" type="noConversion"/>
  </si>
  <si>
    <t>Vic</t>
    <phoneticPr fontId="2" type="noConversion"/>
  </si>
  <si>
    <t>228 補班</t>
    <phoneticPr fontId="2" type="noConversion"/>
  </si>
  <si>
    <t>勞動節</t>
    <phoneticPr fontId="2" type="noConversion"/>
  </si>
  <si>
    <t>頁面設計</t>
    <phoneticPr fontId="2" type="noConversion"/>
  </si>
  <si>
    <t>程式開發</t>
    <phoneticPr fontId="2" type="noConversion"/>
  </si>
  <si>
    <t>測試</t>
    <phoneticPr fontId="2" type="noConversion"/>
  </si>
  <si>
    <t>泰文、中文、英文設計</t>
    <phoneticPr fontId="2" type="noConversion"/>
  </si>
  <si>
    <t>Our Service</t>
    <phoneticPr fontId="2" type="noConversion"/>
  </si>
  <si>
    <t>Home</t>
    <phoneticPr fontId="2" type="noConversion"/>
  </si>
  <si>
    <t>News</t>
    <phoneticPr fontId="2" type="noConversion"/>
  </si>
  <si>
    <t>Products</t>
    <phoneticPr fontId="2" type="noConversion"/>
  </si>
  <si>
    <t>Brands</t>
    <phoneticPr fontId="2" type="noConversion"/>
  </si>
  <si>
    <t>Search</t>
    <phoneticPr fontId="2" type="noConversion"/>
  </si>
  <si>
    <t>前端切版</t>
    <phoneticPr fontId="2" type="noConversion"/>
  </si>
  <si>
    <t>後台開發</t>
    <phoneticPr fontId="2" type="noConversion"/>
  </si>
  <si>
    <t>前後台串接</t>
    <phoneticPr fontId="2" type="noConversion"/>
  </si>
  <si>
    <t>PM測試</t>
    <phoneticPr fontId="2" type="noConversion"/>
  </si>
  <si>
    <t>設計師</t>
  </si>
  <si>
    <t>設計師</t>
    <phoneticPr fontId="2" type="noConversion"/>
  </si>
  <si>
    <t>David</t>
  </si>
  <si>
    <t>David</t>
    <phoneticPr fontId="2" type="noConversion"/>
  </si>
  <si>
    <t>前端工程師</t>
  </si>
  <si>
    <t>Alvin</t>
  </si>
  <si>
    <t>後端工程師</t>
  </si>
  <si>
    <t>Vic</t>
  </si>
  <si>
    <t>Kelly</t>
  </si>
  <si>
    <t>清明節</t>
    <phoneticPr fontId="2" type="noConversion"/>
  </si>
  <si>
    <t>工程師調改</t>
    <phoneticPr fontId="2" type="noConversion"/>
  </si>
  <si>
    <t>上線</t>
    <phoneticPr fontId="2" type="noConversion"/>
  </si>
  <si>
    <t>正式環境架設</t>
    <phoneticPr fontId="2" type="noConversion"/>
  </si>
  <si>
    <t>版更正式環境</t>
    <phoneticPr fontId="2" type="noConversion"/>
  </si>
  <si>
    <t>語系包</t>
    <phoneticPr fontId="2" type="noConversion"/>
  </si>
  <si>
    <t>語系更新</t>
    <phoneticPr fontId="2" type="noConversion"/>
  </si>
  <si>
    <t>開始執行日</t>
    <phoneticPr fontId="2" type="noConversion"/>
  </si>
  <si>
    <t>備註</t>
    <phoneticPr fontId="2" type="noConversion"/>
  </si>
  <si>
    <t>Our Service 頁調改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</si>
</sst>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80" formatCode="General\ &quot;D&quot;"/>
    <numFmt numFmtId="182" formatCode="m&quot;月&quot;d&quot;日&quot;"/>
    <numFmt numFmtId="183" formatCode="&quot;Mode&quot;\ General"/>
  </numFmts>
  <fonts count="23" x14ac:knownFonts="1">
    <font>
      <sz val="12"/>
      <color theme="1"/>
      <name val="微軟正黑體"/>
      <family val="2"/>
      <charset val="136"/>
      <scheme val="minor"/>
    </font>
    <font>
      <sz val="10"/>
      <color theme="1"/>
      <name val="微軟正黑體"/>
      <family val="2"/>
      <charset val="136"/>
    </font>
    <font>
      <sz val="9"/>
      <name val="微軟正黑體"/>
      <family val="2"/>
      <charset val="136"/>
      <scheme val="minor"/>
    </font>
    <font>
      <sz val="12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1"/>
      <color theme="0"/>
      <name val="微軟正黑體"/>
      <family val="2"/>
      <charset val="136"/>
    </font>
    <font>
      <b/>
      <sz val="12"/>
      <color theme="7"/>
      <name val="微軟正黑體"/>
      <family val="2"/>
      <charset val="136"/>
    </font>
    <font>
      <b/>
      <sz val="10"/>
      <color theme="0"/>
      <name val="微軟正黑體"/>
      <family val="2"/>
      <charset val="136"/>
    </font>
    <font>
      <b/>
      <sz val="10"/>
      <color theme="1"/>
      <name val="微軟正黑體"/>
      <family val="2"/>
      <charset val="136"/>
    </font>
    <font>
      <sz val="10"/>
      <color rgb="FFC00000"/>
      <name val="微軟正黑體"/>
      <family val="2"/>
      <charset val="136"/>
    </font>
    <font>
      <sz val="10"/>
      <color rgb="FF0070C0"/>
      <name val="微軟正黑體"/>
      <family val="2"/>
      <charset val="136"/>
    </font>
    <font>
      <b/>
      <sz val="12"/>
      <color rgb="FF000000"/>
      <name val="微軟正黑體"/>
      <family val="2"/>
      <charset val="136"/>
    </font>
    <font>
      <b/>
      <i/>
      <sz val="11"/>
      <color rgb="FFC00000"/>
      <name val="微軟正黑體"/>
      <family val="2"/>
      <charset val="136"/>
    </font>
    <font>
      <b/>
      <sz val="10"/>
      <color rgb="FFC00000"/>
      <name val="微軟正黑體"/>
      <family val="2"/>
      <charset val="136"/>
    </font>
    <font>
      <b/>
      <u/>
      <sz val="12"/>
      <color theme="1"/>
      <name val="微軟正黑體"/>
      <family val="2"/>
      <charset val="136"/>
    </font>
    <font>
      <sz val="12"/>
      <color rgb="FFFFFF00"/>
      <name val="微軟正黑體"/>
      <family val="2"/>
      <charset val="136"/>
    </font>
    <font>
      <b/>
      <i/>
      <sz val="10"/>
      <color rgb="FFC00000"/>
      <name val="微軟正黑體"/>
      <family val="2"/>
      <charset val="136"/>
    </font>
    <font>
      <b/>
      <sz val="12"/>
      <color rgb="FFFFFF00"/>
      <name val="微軟正黑體"/>
      <family val="2"/>
      <charset val="136"/>
    </font>
    <font>
      <b/>
      <i/>
      <sz val="12"/>
      <color rgb="FFC00000"/>
      <name val="微軟正黑體"/>
      <family val="2"/>
      <charset val="136"/>
    </font>
    <font>
      <b/>
      <sz val="11"/>
      <name val="微軟正黑體"/>
      <family val="2"/>
      <charset val="136"/>
    </font>
    <font>
      <sz val="11"/>
      <color rgb="FFFFFF00"/>
      <name val="微軟正黑體"/>
      <family val="2"/>
      <charset val="136"/>
    </font>
    <font>
      <sz val="11"/>
      <color theme="1"/>
      <name val="微軟正黑體"/>
      <family val="2"/>
      <charset val="136"/>
    </font>
  </fonts>
  <fills count="3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2CC"/>
        <bgColor indexed="64"/>
      </patternFill>
    </fill>
    <fill>
      <patternFill patternType="lightDown">
        <fgColor theme="0" tint="-0.499984740745262"/>
        <bgColor theme="0" tint="-4.9989318521683403E-2"/>
      </patternFill>
    </fill>
    <fill>
      <patternFill patternType="darkHorizontal">
        <fgColor theme="1"/>
        <bgColor theme="0" tint="-4.9989318521683403E-2"/>
      </patternFill>
    </fill>
  </fills>
  <borders count="12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 diagonalDown="1">
      <left/>
      <right/>
      <top/>
      <bottom style="thin">
        <color theme="1" tint="0.499984740745262"/>
      </bottom>
      <diagonal style="thin">
        <color theme="1" tint="0.499984740745262"/>
      </diagonal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7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5" fillId="3" borderId="1" xfId="0" applyFont="1" applyFill="1" applyBorder="1">
      <alignment vertical="center"/>
    </xf>
    <xf numFmtId="0" fontId="6" fillId="3" borderId="2" xfId="0" applyFont="1" applyFill="1" applyBorder="1" applyAlignment="1">
      <alignment horizontal="left" vertical="center" wrapText="1"/>
    </xf>
    <xf numFmtId="0" fontId="7" fillId="3" borderId="1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3" fillId="10" borderId="5" xfId="0" applyFont="1" applyFill="1" applyBorder="1">
      <alignment vertical="center"/>
    </xf>
    <xf numFmtId="0" fontId="3" fillId="5" borderId="5" xfId="0" applyFont="1" applyFill="1" applyBorder="1">
      <alignment vertical="center"/>
    </xf>
    <xf numFmtId="0" fontId="3" fillId="8" borderId="5" xfId="0" applyFont="1" applyFill="1" applyBorder="1">
      <alignment vertical="center"/>
    </xf>
    <xf numFmtId="0" fontId="3" fillId="21" borderId="5" xfId="0" applyFont="1" applyFill="1" applyBorder="1">
      <alignment vertical="center"/>
    </xf>
    <xf numFmtId="0" fontId="3" fillId="13" borderId="5" xfId="0" applyFont="1" applyFill="1" applyBorder="1">
      <alignment vertical="center"/>
    </xf>
    <xf numFmtId="0" fontId="3" fillId="16" borderId="5" xfId="0" applyFont="1" applyFill="1" applyBorder="1">
      <alignment vertical="center"/>
    </xf>
    <xf numFmtId="0" fontId="3" fillId="19" borderId="5" xfId="0" applyFont="1" applyFill="1" applyBorder="1">
      <alignment vertical="center"/>
    </xf>
    <xf numFmtId="0" fontId="3" fillId="17" borderId="5" xfId="0" applyFont="1" applyFill="1" applyBorder="1">
      <alignment vertical="center"/>
    </xf>
    <xf numFmtId="0" fontId="3" fillId="20" borderId="5" xfId="0" applyFont="1" applyFill="1" applyBorder="1">
      <alignment vertical="center"/>
    </xf>
    <xf numFmtId="0" fontId="3" fillId="22" borderId="5" xfId="0" applyFont="1" applyFill="1" applyBorder="1">
      <alignment vertical="center"/>
    </xf>
    <xf numFmtId="0" fontId="3" fillId="9" borderId="5" xfId="0" applyFont="1" applyFill="1" applyBorder="1">
      <alignment vertical="center"/>
    </xf>
    <xf numFmtId="0" fontId="3" fillId="23" borderId="5" xfId="0" applyFont="1" applyFill="1" applyBorder="1">
      <alignment vertical="center"/>
    </xf>
    <xf numFmtId="0" fontId="3" fillId="7" borderId="5" xfId="0" applyFont="1" applyFill="1" applyBorder="1">
      <alignment vertical="center"/>
    </xf>
    <xf numFmtId="0" fontId="3" fillId="14" borderId="5" xfId="0" applyFont="1" applyFill="1" applyBorder="1">
      <alignment vertical="center"/>
    </xf>
    <xf numFmtId="0" fontId="3" fillId="18" borderId="5" xfId="0" applyFont="1" applyFill="1" applyBorder="1">
      <alignment vertical="center"/>
    </xf>
    <xf numFmtId="0" fontId="3" fillId="11" borderId="5" xfId="0" applyFont="1" applyFill="1" applyBorder="1">
      <alignment vertical="center"/>
    </xf>
    <xf numFmtId="0" fontId="3" fillId="6" borderId="5" xfId="0" applyFont="1" applyFill="1" applyBorder="1">
      <alignment vertical="center"/>
    </xf>
    <xf numFmtId="0" fontId="3" fillId="24" borderId="5" xfId="0" applyFont="1" applyFill="1" applyBorder="1">
      <alignment vertical="center"/>
    </xf>
    <xf numFmtId="0" fontId="3" fillId="12" borderId="5" xfId="0" applyFont="1" applyFill="1" applyBorder="1">
      <alignment vertical="center"/>
    </xf>
    <xf numFmtId="0" fontId="8" fillId="3" borderId="3" xfId="0" applyFont="1" applyFill="1" applyBorder="1" applyAlignment="1">
      <alignment horizontal="center" vertical="center" shrinkToFit="1"/>
    </xf>
    <xf numFmtId="0" fontId="1" fillId="0" borderId="0" xfId="0" applyFont="1" applyAlignment="1">
      <alignment horizontal="center" vertical="center" shrinkToFit="1"/>
    </xf>
    <xf numFmtId="0" fontId="15" fillId="0" borderId="0" xfId="0" applyFont="1">
      <alignment vertical="center"/>
    </xf>
    <xf numFmtId="180" fontId="1" fillId="0" borderId="0" xfId="0" applyNumberFormat="1" applyFont="1" applyAlignment="1">
      <alignment vertical="center" shrinkToFit="1"/>
    </xf>
    <xf numFmtId="0" fontId="9" fillId="0" borderId="0" xfId="0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vertical="center" shrinkToFit="1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14" fontId="1" fillId="0" borderId="0" xfId="0" applyNumberFormat="1" applyFont="1" applyAlignment="1" applyProtection="1">
      <alignment horizontal="center" vertical="center" shrinkToFit="1"/>
      <protection locked="0"/>
    </xf>
    <xf numFmtId="14" fontId="1" fillId="0" borderId="0" xfId="0" applyNumberFormat="1" applyFont="1" applyAlignment="1" applyProtection="1">
      <alignment vertical="center" shrinkToFit="1"/>
      <protection locked="0"/>
    </xf>
    <xf numFmtId="0" fontId="14" fillId="0" borderId="0" xfId="0" applyFont="1">
      <alignment vertical="center"/>
    </xf>
    <xf numFmtId="0" fontId="6" fillId="2" borderId="4" xfId="0" applyFont="1" applyFill="1" applyBorder="1" applyAlignment="1" applyProtection="1">
      <alignment horizontal="center" vertical="center"/>
      <protection locked="0"/>
    </xf>
    <xf numFmtId="0" fontId="13" fillId="15" borderId="4" xfId="0" applyFont="1" applyFill="1" applyBorder="1" applyAlignment="1" applyProtection="1">
      <alignment vertical="center" shrinkToFit="1"/>
      <protection locked="0"/>
    </xf>
    <xf numFmtId="0" fontId="16" fillId="17" borderId="7" xfId="0" applyFont="1" applyFill="1" applyBorder="1" applyAlignment="1">
      <alignment horizontal="center" vertical="center"/>
    </xf>
    <xf numFmtId="0" fontId="6" fillId="2" borderId="4" xfId="0" applyFont="1" applyFill="1" applyBorder="1" applyAlignment="1" applyProtection="1">
      <alignment horizontal="center" vertical="center" shrinkToFit="1"/>
      <protection locked="0"/>
    </xf>
    <xf numFmtId="0" fontId="17" fillId="0" borderId="0" xfId="0" applyFont="1">
      <alignment vertical="center"/>
    </xf>
    <xf numFmtId="0" fontId="3" fillId="26" borderId="11" xfId="0" applyFont="1" applyFill="1" applyBorder="1" applyAlignment="1">
      <alignment horizontal="center" vertical="center"/>
    </xf>
    <xf numFmtId="0" fontId="0" fillId="2" borderId="0" xfId="0" applyFill="1">
      <alignment vertical="center"/>
    </xf>
    <xf numFmtId="0" fontId="3" fillId="2" borderId="0" xfId="0" applyFont="1" applyFill="1">
      <alignment vertical="center"/>
    </xf>
    <xf numFmtId="14" fontId="15" fillId="0" borderId="0" xfId="0" applyNumberFormat="1" applyFont="1">
      <alignment vertical="center"/>
    </xf>
    <xf numFmtId="14" fontId="17" fillId="0" borderId="0" xfId="0" applyNumberFormat="1" applyFont="1">
      <alignment vertical="center"/>
    </xf>
    <xf numFmtId="14" fontId="8" fillId="3" borderId="3" xfId="0" applyNumberFormat="1" applyFont="1" applyFill="1" applyBorder="1" applyAlignment="1">
      <alignment horizontal="center" vertical="center"/>
    </xf>
    <xf numFmtId="14" fontId="3" fillId="0" borderId="0" xfId="0" applyNumberFormat="1" applyFont="1">
      <alignment vertical="center"/>
    </xf>
    <xf numFmtId="14" fontId="3" fillId="0" borderId="0" xfId="0" applyNumberFormat="1" applyFont="1" applyAlignment="1">
      <alignment horizontal="center" vertical="center"/>
    </xf>
    <xf numFmtId="0" fontId="3" fillId="15" borderId="11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Protection="1">
      <alignment vertical="center"/>
      <protection locked="0"/>
    </xf>
    <xf numFmtId="0" fontId="19" fillId="15" borderId="7" xfId="0" applyFont="1" applyFill="1" applyBorder="1" applyAlignment="1" applyProtection="1">
      <alignment horizontal="center" vertical="center"/>
      <protection locked="0"/>
    </xf>
    <xf numFmtId="182" fontId="3" fillId="0" borderId="0" xfId="0" applyNumberFormat="1" applyFont="1">
      <alignment vertical="center"/>
    </xf>
    <xf numFmtId="0" fontId="3" fillId="29" borderId="0" xfId="0" applyFont="1" applyFill="1">
      <alignment vertical="center"/>
    </xf>
    <xf numFmtId="0" fontId="3" fillId="30" borderId="0" xfId="0" applyFont="1" applyFill="1">
      <alignment vertical="center"/>
    </xf>
    <xf numFmtId="14" fontId="6" fillId="2" borderId="4" xfId="0" applyNumberFormat="1" applyFont="1" applyFill="1" applyBorder="1" applyAlignment="1" applyProtection="1">
      <alignment horizontal="center" vertical="center" shrinkToFit="1"/>
      <protection locked="0"/>
    </xf>
    <xf numFmtId="14" fontId="20" fillId="15" borderId="4" xfId="0" applyNumberFormat="1" applyFont="1" applyFill="1" applyBorder="1" applyAlignment="1" applyProtection="1">
      <alignment horizontal="center" vertical="center" shrinkToFit="1"/>
      <protection locked="0"/>
    </xf>
    <xf numFmtId="180" fontId="1" fillId="0" borderId="0" xfId="0" applyNumberFormat="1" applyFont="1" applyAlignment="1" applyProtection="1">
      <alignment vertical="center" shrinkToFit="1"/>
      <protection locked="0"/>
    </xf>
    <xf numFmtId="14" fontId="1" fillId="0" borderId="0" xfId="0" applyNumberFormat="1" applyFont="1" applyAlignment="1" applyProtection="1">
      <alignment horizontal="center" vertical="center" shrinkToFit="1"/>
      <protection hidden="1"/>
    </xf>
    <xf numFmtId="0" fontId="21" fillId="21" borderId="7" xfId="0" applyFont="1" applyFill="1" applyBorder="1" applyAlignment="1">
      <alignment horizontal="center" vertical="center"/>
    </xf>
    <xf numFmtId="0" fontId="22" fillId="26" borderId="7" xfId="0" applyFont="1" applyFill="1" applyBorder="1">
      <alignment vertical="center"/>
    </xf>
    <xf numFmtId="0" fontId="22" fillId="26" borderId="7" xfId="0" applyFont="1" applyFill="1" applyBorder="1" applyAlignment="1">
      <alignment vertical="center" wrapText="1"/>
    </xf>
    <xf numFmtId="0" fontId="22" fillId="27" borderId="7" xfId="0" applyFont="1" applyFill="1" applyBorder="1">
      <alignment vertical="center"/>
    </xf>
    <xf numFmtId="0" fontId="22" fillId="28" borderId="7" xfId="0" applyFont="1" applyFill="1" applyBorder="1" applyAlignment="1" applyProtection="1">
      <alignment vertical="center" wrapText="1"/>
      <protection locked="0"/>
    </xf>
    <xf numFmtId="0" fontId="8" fillId="4" borderId="0" xfId="0" applyFont="1" applyFill="1" applyAlignment="1" applyProtection="1">
      <alignment horizontal="center" vertical="center" wrapText="1"/>
      <protection locked="0"/>
    </xf>
    <xf numFmtId="0" fontId="8" fillId="4" borderId="0" xfId="0" applyFont="1" applyFill="1" applyAlignment="1" applyProtection="1">
      <alignment horizontal="center" vertical="center" wrapText="1" shrinkToFit="1"/>
      <protection locked="0"/>
    </xf>
    <xf numFmtId="180" fontId="8" fillId="4" borderId="0" xfId="0" applyNumberFormat="1" applyFont="1" applyFill="1" applyAlignment="1">
      <alignment horizontal="center" vertical="center" wrapText="1" shrinkToFit="1"/>
    </xf>
    <xf numFmtId="14" fontId="8" fillId="4" borderId="0" xfId="0" applyNumberFormat="1" applyFont="1" applyFill="1" applyAlignment="1" applyProtection="1">
      <alignment horizontal="center" vertical="center" wrapText="1" shrinkToFit="1"/>
      <protection locked="0"/>
    </xf>
    <xf numFmtId="0" fontId="14" fillId="0" borderId="0" xfId="0" applyFont="1" applyAlignment="1">
      <alignment horizontal="center" vertical="center" shrinkToFit="1"/>
    </xf>
    <xf numFmtId="183" fontId="3" fillId="15" borderId="11" xfId="0" applyNumberFormat="1" applyFont="1" applyFill="1" applyBorder="1" applyAlignment="1" applyProtection="1">
      <alignment horizontal="center" vertical="center"/>
      <protection locked="0"/>
    </xf>
    <xf numFmtId="14" fontId="10" fillId="0" borderId="0" xfId="0" applyNumberFormat="1" applyFont="1" applyAlignment="1" applyProtection="1">
      <alignment horizontal="center" vertical="center" shrinkToFit="1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14" fontId="11" fillId="0" borderId="0" xfId="0" applyNumberFormat="1" applyFont="1" applyAlignment="1" applyProtection="1">
      <alignment horizontal="center" vertical="center" shrinkToFit="1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13" fillId="15" borderId="4" xfId="0" applyFont="1" applyFill="1" applyBorder="1" applyAlignment="1" applyProtection="1">
      <alignment horizontal="center" vertical="center" shrinkToFit="1"/>
      <protection locked="0"/>
    </xf>
    <xf numFmtId="0" fontId="13" fillId="15" borderId="6" xfId="0" applyFont="1" applyFill="1" applyBorder="1" applyAlignment="1" applyProtection="1">
      <alignment horizontal="center" vertical="center" shrinkToFit="1"/>
      <protection locked="0"/>
    </xf>
    <xf numFmtId="0" fontId="13" fillId="15" borderId="8" xfId="0" applyFont="1" applyFill="1" applyBorder="1" applyAlignment="1" applyProtection="1">
      <alignment horizontal="center" vertical="center" shrinkToFit="1"/>
      <protection locked="0"/>
    </xf>
    <xf numFmtId="0" fontId="13" fillId="15" borderId="9" xfId="0" applyFont="1" applyFill="1" applyBorder="1" applyAlignment="1" applyProtection="1">
      <alignment horizontal="center" vertical="center" shrinkToFit="1"/>
      <protection locked="0"/>
    </xf>
    <xf numFmtId="0" fontId="5" fillId="2" borderId="3" xfId="0" applyFont="1" applyFill="1" applyBorder="1" applyAlignment="1">
      <alignment horizontal="center" vertical="center"/>
    </xf>
    <xf numFmtId="0" fontId="5" fillId="19" borderId="7" xfId="0" applyFont="1" applyFill="1" applyBorder="1" applyAlignment="1">
      <alignment horizontal="center" vertical="center"/>
    </xf>
    <xf numFmtId="180" fontId="5" fillId="25" borderId="0" xfId="0" applyNumberFormat="1" applyFont="1" applyFill="1" applyAlignment="1">
      <alignment horizontal="center" vertical="center" shrinkToFit="1"/>
    </xf>
    <xf numFmtId="0" fontId="5" fillId="2" borderId="10" xfId="0" applyFont="1" applyFill="1" applyBorder="1" applyAlignment="1">
      <alignment horizontal="center" vertical="center"/>
    </xf>
    <xf numFmtId="0" fontId="18" fillId="17" borderId="7" xfId="0" applyFont="1" applyFill="1" applyBorder="1" applyAlignment="1">
      <alignment horizontal="center" vertical="center"/>
    </xf>
    <xf numFmtId="14" fontId="8" fillId="4" borderId="0" xfId="0" applyNumberFormat="1" applyFont="1" applyFill="1" applyAlignment="1" applyProtection="1">
      <alignment horizontal="center" vertical="center" wrapText="1"/>
      <protection locked="0"/>
    </xf>
    <xf numFmtId="14" fontId="1" fillId="0" borderId="0" xfId="0" applyNumberFormat="1" applyFont="1" applyAlignment="1" applyProtection="1">
      <alignment horizontal="left" vertical="center" shrinkToFit="1"/>
      <protection locked="0"/>
    </xf>
  </cellXfs>
  <cellStyles count="1">
    <cellStyle name="一般" xfId="0" builtinId="0"/>
  </cellStyles>
  <dxfs count="86">
    <dxf>
      <font>
        <color theme="1"/>
      </font>
      <fill>
        <patternFill patternType="solid">
          <fgColor indexed="64"/>
          <bgColor rgb="FFC00000"/>
        </patternFill>
      </fill>
    </dxf>
    <dxf>
      <font>
        <color theme="1"/>
      </font>
      <fill>
        <patternFill patternType="solid">
          <fgColor indexed="64"/>
          <bgColor rgb="FFED7D31"/>
        </patternFill>
      </fill>
    </dxf>
    <dxf>
      <font>
        <color theme="1"/>
      </font>
      <fill>
        <patternFill patternType="solid">
          <fgColor indexed="64"/>
          <bgColor rgb="FFFFC000"/>
        </patternFill>
      </fill>
    </dxf>
    <dxf>
      <font>
        <color theme="1"/>
      </font>
      <fill>
        <patternFill patternType="solid">
          <fgColor indexed="64"/>
          <bgColor rgb="FF1F4E78"/>
        </patternFill>
      </fill>
    </dxf>
    <dxf>
      <font>
        <color theme="1"/>
      </font>
      <fill>
        <patternFill patternType="solid">
          <fgColor indexed="64"/>
          <bgColor rgb="FF0070C0"/>
        </patternFill>
      </fill>
    </dxf>
    <dxf>
      <font>
        <color theme="1"/>
      </font>
      <fill>
        <patternFill patternType="solid">
          <fgColor indexed="64"/>
          <bgColor rgb="FF00B0F0"/>
        </patternFill>
      </fill>
    </dxf>
    <dxf>
      <font>
        <color theme="1"/>
      </font>
      <fill>
        <patternFill patternType="solid">
          <fgColor indexed="64"/>
          <bgColor rgb="FF375623"/>
        </patternFill>
      </fill>
    </dxf>
    <dxf>
      <font>
        <color theme="1"/>
      </font>
      <fill>
        <patternFill patternType="solid">
          <fgColor indexed="64"/>
          <bgColor rgb="FF548235"/>
        </patternFill>
      </fill>
    </dxf>
    <dxf>
      <font>
        <color theme="1"/>
      </font>
      <fill>
        <patternFill patternType="solid">
          <fgColor indexed="64"/>
          <bgColor rgb="FF00B050"/>
        </patternFill>
      </fill>
    </dxf>
    <dxf>
      <font>
        <color theme="1"/>
      </font>
      <fill>
        <patternFill patternType="solid">
          <fgColor indexed="64"/>
          <bgColor rgb="FF7030A0"/>
        </patternFill>
      </fill>
    </dxf>
    <dxf>
      <font>
        <color theme="1"/>
      </font>
      <fill>
        <patternFill patternType="solid">
          <fgColor indexed="64"/>
          <bgColor rgb="FFFF0000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1"/>
      </font>
      <fill>
        <patternFill patternType="solid">
          <fgColor indexed="64"/>
          <bgColor rgb="FF00B050"/>
        </patternFill>
      </fill>
    </dxf>
    <dxf>
      <font>
        <color theme="1"/>
      </font>
      <fill>
        <patternFill patternType="solid">
          <fgColor indexed="64"/>
          <bgColor rgb="FFFFE699"/>
        </patternFill>
      </fill>
    </dxf>
    <dxf>
      <font>
        <color theme="1"/>
      </font>
      <fill>
        <patternFill patternType="solid">
          <fgColor indexed="64"/>
          <bgColor rgb="FFBDD7EE"/>
        </patternFill>
      </fill>
    </dxf>
    <dxf>
      <font>
        <color theme="1"/>
      </font>
      <fill>
        <patternFill patternType="solid">
          <fgColor indexed="64"/>
          <bgColor rgb="FFC6E0B4"/>
        </patternFill>
      </fill>
    </dxf>
    <dxf>
      <font>
        <color theme="1"/>
      </font>
      <fill>
        <patternFill patternType="solid">
          <fgColor indexed="64"/>
          <bgColor rgb="FFF8CBAD"/>
        </patternFill>
      </fill>
    </dxf>
    <dxf>
      <font>
        <color theme="1"/>
      </font>
      <fill>
        <patternFill patternType="solid">
          <fgColor indexed="64"/>
          <bgColor rgb="FFB4C6E7"/>
        </patternFill>
      </fill>
    </dxf>
    <dxf>
      <font>
        <color theme="1"/>
      </font>
      <fill>
        <patternFill patternType="solid">
          <fgColor indexed="64"/>
          <bgColor rgb="FFACB9CA"/>
        </patternFill>
      </fill>
    </dxf>
    <dxf>
      <font>
        <color theme="1"/>
      </font>
      <fill>
        <patternFill patternType="solid">
          <fgColor indexed="64"/>
          <bgColor rgb="FFD9D9D9"/>
        </patternFill>
      </fill>
    </dxf>
    <dxf>
      <numFmt numFmtId="184" formatCode="\&gt;\ @"/>
    </dxf>
    <dxf>
      <font>
        <b/>
        <i val="0"/>
      </font>
      <numFmt numFmtId="185" formatCode="\●\ \ 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軟正黑體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軟正黑體"/>
        <family val="2"/>
        <charset val="136"/>
        <scheme val="none"/>
      </font>
      <numFmt numFmtId="19" formatCode="yyyy/m/d"/>
      <alignment horizontal="center" vertical="center" textRotation="0" wrapText="0" indent="0" justifyLastLine="0" shrinkToFit="1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70C0"/>
        <name val="微軟正黑體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70C0"/>
        <name val="微軟正黑體"/>
        <scheme val="none"/>
      </font>
      <numFmt numFmtId="19" formatCode="yyyy/m/d"/>
      <alignment horizontal="center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軟正黑體"/>
        <scheme val="none"/>
      </font>
      <numFmt numFmtId="19" formatCode="yyyy/m/d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微軟正黑體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微軟正黑體"/>
        <scheme val="none"/>
      </font>
      <numFmt numFmtId="19" formatCode="yyyy/m/d"/>
      <alignment horizontal="center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軟正黑體"/>
        <scheme val="none"/>
      </font>
      <numFmt numFmtId="19" formatCode="yyyy/m/d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軟正黑體"/>
        <scheme val="none"/>
      </font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軟正黑體"/>
        <scheme val="none"/>
      </font>
      <alignment horizontal="center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微軟正黑體"/>
        <scheme val="none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軟正黑體"/>
        <scheme val="none"/>
      </font>
      <alignment horizontal="center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微軟正黑體"/>
        <scheme val="none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軟正黑體"/>
        <scheme val="none"/>
      </font>
      <alignment horizontal="center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微軟正黑體"/>
        <scheme val="none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軟正黑體"/>
        <scheme val="none"/>
      </font>
      <alignment horizontal="center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微軟正黑體"/>
        <scheme val="none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軟正黑體"/>
        <scheme val="none"/>
      </font>
      <alignment horizontal="center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微軟正黑體"/>
        <scheme val="none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軟正黑體"/>
        <scheme val="none"/>
      </font>
      <alignment horizontal="center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微軟正黑體"/>
        <scheme val="none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軟正黑體"/>
        <scheme val="none"/>
      </font>
      <alignment horizontal="center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微軟正黑體"/>
        <scheme val="none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軟正黑體"/>
        <scheme val="none"/>
      </font>
      <alignment horizontal="center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微軟正黑體"/>
        <scheme val="none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軟正黑體"/>
        <scheme val="none"/>
      </font>
      <alignment horizontal="center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微軟正黑體"/>
        <scheme val="none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軟正黑體"/>
        <scheme val="none"/>
      </font>
      <alignment horizontal="center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微軟正黑體"/>
        <scheme val="none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軟正黑體"/>
        <scheme val="none"/>
      </font>
      <alignment horizontal="center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微軟正黑體"/>
        <scheme val="none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軟正黑體"/>
        <scheme val="none"/>
      </font>
      <alignment horizontal="center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微軟正黑體"/>
        <scheme val="none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軟正黑體"/>
        <scheme val="none"/>
      </font>
      <alignment horizontal="center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微軟正黑體"/>
        <scheme val="none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軟正黑體"/>
        <scheme val="none"/>
      </font>
      <alignment horizontal="center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微軟正黑體"/>
        <scheme val="none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軟正黑體"/>
        <scheme val="none"/>
      </font>
      <alignment horizontal="center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微軟正黑體"/>
        <scheme val="none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軟正黑體"/>
        <scheme val="none"/>
      </font>
      <alignment horizontal="center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微軟正黑體"/>
        <scheme val="none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軟正黑體"/>
        <scheme val="none"/>
      </font>
      <alignment horizontal="center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微軟正黑體"/>
        <scheme val="none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軟正黑體"/>
        <scheme val="none"/>
      </font>
      <alignment horizontal="center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微軟正黑體"/>
        <scheme val="none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軟正黑體"/>
        <scheme val="none"/>
      </font>
      <alignment horizontal="center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微軟正黑體"/>
        <scheme val="none"/>
      </font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軟正黑體"/>
        <scheme val="none"/>
      </font>
      <alignment horizontal="center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微軟正黑體"/>
        <scheme val="none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軟正黑體"/>
        <scheme val="none"/>
      </font>
      <alignment horizontal="center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軟正黑體"/>
        <scheme val="none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軟正黑體"/>
        <scheme val="none"/>
      </font>
      <numFmt numFmtId="19" formatCode="yyyy/m/d"/>
      <alignment horizontal="center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軟正黑體"/>
        <scheme val="none"/>
      </font>
      <numFmt numFmtId="19" formatCode="yyyy/m/d"/>
      <alignment horizontal="center" vertical="center" textRotation="0" wrapText="0" indent="0" justifyLastLine="0" shrinkToFit="1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軟正黑體"/>
        <scheme val="none"/>
      </font>
      <numFmt numFmtId="19" formatCode="yyyy/m/d"/>
      <alignment horizontal="center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軟正黑體"/>
        <scheme val="none"/>
      </font>
      <numFmt numFmtId="180" formatCode="General\ &quot;D&quot;"/>
      <alignment vertical="center" textRotation="0" wrapTex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軟正黑體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軟正黑體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軟正黑體"/>
        <scheme val="none"/>
      </font>
      <alignment vertical="center" textRotation="0" wrapText="0" justifyLastLine="0" shrinkToFit="1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軟正黑體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軟正黑體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微軟正黑體"/>
        <scheme val="none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F2CC"/>
      <color rgb="FFFFFFCC"/>
      <color rgb="FF00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kiwislife.com/?utm_source=excel&amp;utm_medium=url&amp;utm_campaign=gantt_chart_v3&amp;utm_content=LOG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0</xdr:row>
          <xdr:rowOff>30480</xdr:rowOff>
        </xdr:from>
        <xdr:to>
          <xdr:col>9</xdr:col>
          <xdr:colOff>754380</xdr:colOff>
          <xdr:row>1</xdr:row>
          <xdr:rowOff>182880</xdr:rowOff>
        </xdr:to>
        <xdr:sp macro="" textlink="">
          <xdr:nvSpPr>
            <xdr:cNvPr id="2051" name="Change Color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一鍵快速變色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175260</xdr:colOff>
          <xdr:row>7</xdr:row>
          <xdr:rowOff>30480</xdr:rowOff>
        </xdr:from>
        <xdr:to>
          <xdr:col>1</xdr:col>
          <xdr:colOff>1165860</xdr:colOff>
          <xdr:row>9</xdr:row>
          <xdr:rowOff>175260</xdr:rowOff>
        </xdr:to>
        <xdr:sp macro="" textlink="">
          <xdr:nvSpPr>
            <xdr:cNvPr id="4128" name="meeting mode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啟用會議模式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666750</xdr:colOff>
      <xdr:row>11</xdr:row>
      <xdr:rowOff>38100</xdr:rowOff>
    </xdr:from>
    <xdr:to>
      <xdr:col>1</xdr:col>
      <xdr:colOff>638100</xdr:colOff>
      <xdr:row>13</xdr:row>
      <xdr:rowOff>19447</xdr:rowOff>
    </xdr:to>
    <xdr:pic>
      <xdr:nvPicPr>
        <xdr:cNvPr id="2" name="圖片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2257425"/>
          <a:ext cx="1323900" cy="38139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Schedule_plan_form" displayName="Schedule_plan_form" ref="A3:J98" totalsRowShown="0" headerRowDxfId="85" dataDxfId="84">
  <autoFilter ref="A3:J98" xr:uid="{00000000-0009-0000-0100-000003000000}"/>
  <tableColumns count="10">
    <tableColumn id="1" xr3:uid="{00000000-0010-0000-0000-000001000000}" name="工作類型" dataDxfId="83"/>
    <tableColumn id="2" xr3:uid="{00000000-0010-0000-0000-000002000000}" name="工作項目" dataDxfId="82"/>
    <tableColumn id="3" xr3:uid="{00000000-0010-0000-0000-000003000000}" name="負責組別" dataDxfId="81"/>
    <tableColumn id="4" xr3:uid="{00000000-0010-0000-0000-000004000000}" name="負責人" dataDxfId="80"/>
    <tableColumn id="5" xr3:uid="{00000000-0010-0000-0000-000005000000}" name="預估工時" dataDxfId="79"/>
    <tableColumn id="6" xr3:uid="{00000000-0010-0000-0000-000006000000}" name="起始日" dataDxfId="78"/>
    <tableColumn id="7" xr3:uid="{00000000-0010-0000-0000-000007000000}" name="預估完成日" dataDxfId="77">
      <calculatedColumnFormula>IF(F4="","",IF(Setup!$B$5="No",F4+E4-1,WORKDAY.INTL(F4,E4-1,1,skip_days)))</calculatedColumnFormula>
    </tableColumn>
    <tableColumn id="9" xr3:uid="{BCD03A50-7254-4CBA-806B-531129080659}" name="開始執行日" dataDxfId="23"/>
    <tableColumn id="8" xr3:uid="{00000000-0010-0000-0000-000008000000}" name="實際完成日" dataDxfId="76"/>
    <tableColumn id="10" xr3:uid="{E3E789A5-A184-42A6-829F-E098F7BE7AD9}" name="備註" dataDxfId="22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eam_Roster" displayName="Team_Roster" ref="C5:V54" headerRowCount="0" totalsRowShown="0" headerRowDxfId="75" dataDxfId="74">
  <tableColumns count="20">
    <tableColumn id="1" xr3:uid="{00000000-0010-0000-0100-000001000000}" name="單位1" headerRowDxfId="73" dataDxfId="72"/>
    <tableColumn id="2" xr3:uid="{00000000-0010-0000-0100-000002000000}" name="單位2" headerRowDxfId="71" dataDxfId="70"/>
    <tableColumn id="3" xr3:uid="{00000000-0010-0000-0100-000003000000}" name="單位3" headerRowDxfId="69" dataDxfId="68"/>
    <tableColumn id="4" xr3:uid="{00000000-0010-0000-0100-000004000000}" name="單位4" headerRowDxfId="67" dataDxfId="66"/>
    <tableColumn id="5" xr3:uid="{00000000-0010-0000-0100-000005000000}" name="單位5" headerRowDxfId="65" dataDxfId="64"/>
    <tableColumn id="6" xr3:uid="{00000000-0010-0000-0100-000006000000}" name="單位6" headerRowDxfId="63" dataDxfId="62"/>
    <tableColumn id="7" xr3:uid="{00000000-0010-0000-0100-000007000000}" name="單位7" headerRowDxfId="61" dataDxfId="60"/>
    <tableColumn id="8" xr3:uid="{00000000-0010-0000-0100-000008000000}" name="單位8" headerRowDxfId="59" dataDxfId="58"/>
    <tableColumn id="9" xr3:uid="{00000000-0010-0000-0100-000009000000}" name="單位9" headerRowDxfId="57" dataDxfId="56"/>
    <tableColumn id="10" xr3:uid="{00000000-0010-0000-0100-00000A000000}" name="單位10" headerRowDxfId="55" dataDxfId="54"/>
    <tableColumn id="11" xr3:uid="{00000000-0010-0000-0100-00000B000000}" name="單位11" headerRowDxfId="53" dataDxfId="52"/>
    <tableColumn id="12" xr3:uid="{00000000-0010-0000-0100-00000C000000}" name="單位12" headerRowDxfId="51" dataDxfId="50"/>
    <tableColumn id="13" xr3:uid="{00000000-0010-0000-0100-00000D000000}" name="單位13" headerRowDxfId="49" dataDxfId="48"/>
    <tableColumn id="14" xr3:uid="{00000000-0010-0000-0100-00000E000000}" name="單位14" headerRowDxfId="47" dataDxfId="46"/>
    <tableColumn id="15" xr3:uid="{00000000-0010-0000-0100-00000F000000}" name="單位15" headerRowDxfId="45" dataDxfId="44"/>
    <tableColumn id="16" xr3:uid="{00000000-0010-0000-0100-000010000000}" name="單位16" headerRowDxfId="43" dataDxfId="42"/>
    <tableColumn id="17" xr3:uid="{00000000-0010-0000-0100-000011000000}" name="欄1" headerRowDxfId="41" dataDxfId="40"/>
    <tableColumn id="18" xr3:uid="{00000000-0010-0000-0100-000012000000}" name="欄2" headerRowDxfId="39" dataDxfId="38"/>
    <tableColumn id="19" xr3:uid="{00000000-0010-0000-0100-000013000000}" name="欄3" headerRowDxfId="37" dataDxfId="36"/>
    <tableColumn id="20" xr3:uid="{00000000-0010-0000-0100-000014000000}" name="欄4" headerRowDxfId="35" dataDxfId="34"/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Holiday_and_Workday" displayName="Holiday_and_Workday" ref="B5:E48" headerRowCount="0" totalsRowShown="0" headerRowDxfId="33" dataDxfId="32">
  <tableColumns count="4">
    <tableColumn id="1" xr3:uid="{00000000-0010-0000-0200-000001000000}" name="欄1" headerRowDxfId="31" dataDxfId="30"/>
    <tableColumn id="2" xr3:uid="{00000000-0010-0000-0200-000002000000}" name="欄2" headerRowDxfId="29" dataDxfId="28"/>
    <tableColumn id="3" xr3:uid="{00000000-0010-0000-0200-000003000000}" name="欄3" headerRowDxfId="27" dataDxfId="26"/>
    <tableColumn id="4" xr3:uid="{00000000-0010-0000-0200-000004000000}" name="欄4" headerRowDxfId="25" dataDxfId="24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theme="4"/>
    <pageSetUpPr fitToPage="1"/>
  </sheetPr>
  <dimension ref="A1:J99"/>
  <sheetViews>
    <sheetView showGridLines="0" tabSelected="1" zoomScaleNormal="100" workbookViewId="0">
      <pane xSplit="9" ySplit="3" topLeftCell="J4" activePane="bottomRight" state="frozen"/>
      <selection pane="topRight" activeCell="I1" sqref="I1"/>
      <selection pane="bottomLeft" activeCell="A5" sqref="A5"/>
      <selection pane="bottomRight" activeCell="H12" sqref="H12"/>
    </sheetView>
  </sheetViews>
  <sheetFormatPr defaultColWidth="8.9140625" defaultRowHeight="15.6" x14ac:dyDescent="0.3"/>
  <cols>
    <col min="1" max="1" width="11.33203125" style="34" customWidth="1"/>
    <col min="2" max="2" width="35.75" style="33" customWidth="1"/>
    <col min="3" max="3" width="8.75" style="34" customWidth="1"/>
    <col min="4" max="4" width="8.9140625" style="34"/>
    <col min="5" max="5" width="7.75" style="31" customWidth="1"/>
    <col min="6" max="9" width="10.75" style="36" customWidth="1"/>
    <col min="10" max="10" width="26.83203125" style="36" customWidth="1"/>
    <col min="11" max="16384" width="8.9140625" style="1"/>
  </cols>
  <sheetData>
    <row r="1" spans="1:10" x14ac:dyDescent="0.3">
      <c r="A1" s="41" t="str">
        <f>IF(Language="English",Setup!D12,Setup!E12)</f>
        <v>專案名稱</v>
      </c>
      <c r="B1" s="39" t="s">
        <v>192</v>
      </c>
      <c r="C1" s="38" t="str">
        <f>IF(Language="English",Setup!D14,Setup!E14)</f>
        <v>年份</v>
      </c>
      <c r="D1" s="78">
        <v>2023</v>
      </c>
      <c r="E1" s="79"/>
      <c r="F1" s="57" t="str">
        <f>IF(Language="English",Setup!D62,Setup!E62)</f>
        <v>主項目圖示</v>
      </c>
      <c r="G1" s="58" t="s">
        <v>186</v>
      </c>
      <c r="H1" s="58"/>
      <c r="I1" s="58"/>
      <c r="J1" s="58"/>
    </row>
    <row r="2" spans="1:10" ht="16.5" customHeight="1" x14ac:dyDescent="0.3">
      <c r="A2" s="41" t="str">
        <f>IF(Language="English",Setup!D13,Setup!E13)</f>
        <v>專案負責人</v>
      </c>
      <c r="B2" s="39" t="s">
        <v>193</v>
      </c>
      <c r="C2" s="38" t="str">
        <f>IF(Language="English",Setup!D15,Setup!E15)</f>
        <v>月份</v>
      </c>
      <c r="D2" s="76">
        <v>3</v>
      </c>
      <c r="E2" s="77"/>
      <c r="F2" s="57" t="str">
        <f>IF(Language="English",Setup!D63,Setup!E63)</f>
        <v>子項目圖示</v>
      </c>
      <c r="G2" s="58" t="s">
        <v>174</v>
      </c>
      <c r="H2" s="58"/>
      <c r="I2" s="58"/>
      <c r="J2" s="58"/>
    </row>
    <row r="3" spans="1:10" s="3" customFormat="1" x14ac:dyDescent="0.3">
      <c r="A3" s="66" t="s">
        <v>4</v>
      </c>
      <c r="B3" s="67" t="s">
        <v>1</v>
      </c>
      <c r="C3" s="66" t="s">
        <v>9</v>
      </c>
      <c r="D3" s="66" t="s">
        <v>0</v>
      </c>
      <c r="E3" s="68" t="s">
        <v>185</v>
      </c>
      <c r="F3" s="69" t="s">
        <v>49</v>
      </c>
      <c r="G3" s="69" t="s">
        <v>164</v>
      </c>
      <c r="H3" s="69" t="s">
        <v>230</v>
      </c>
      <c r="I3" s="69" t="s">
        <v>165</v>
      </c>
      <c r="J3" s="85" t="s">
        <v>231</v>
      </c>
    </row>
    <row r="4" spans="1:10" x14ac:dyDescent="0.3">
      <c r="A4" s="32" t="s">
        <v>200</v>
      </c>
      <c r="B4" s="33" t="s">
        <v>203</v>
      </c>
      <c r="C4" s="34" t="s">
        <v>214</v>
      </c>
      <c r="D4" s="34" t="s">
        <v>216</v>
      </c>
      <c r="E4" s="59">
        <v>12</v>
      </c>
      <c r="F4" s="35">
        <v>44964</v>
      </c>
      <c r="G4" s="60">
        <v>44979</v>
      </c>
      <c r="H4" s="60">
        <v>44964</v>
      </c>
      <c r="I4" s="35"/>
      <c r="J4" s="86" t="s">
        <v>232</v>
      </c>
    </row>
    <row r="5" spans="1:10" x14ac:dyDescent="0.3">
      <c r="A5" s="32"/>
      <c r="B5" s="33" t="s">
        <v>204</v>
      </c>
      <c r="E5" s="59"/>
      <c r="F5" s="35"/>
      <c r="G5" s="60" t="str">
        <f>IF(F5="","",IF(Setup!$B$5="No",F5+E5-1,WORKDAY.INTL(F5,E5-1,1,skip_days)))</f>
        <v/>
      </c>
      <c r="H5" s="60"/>
      <c r="I5" s="35"/>
      <c r="J5" s="86"/>
    </row>
    <row r="6" spans="1:10" x14ac:dyDescent="0.3">
      <c r="A6" s="32"/>
      <c r="B6" s="33" t="s">
        <v>205</v>
      </c>
      <c r="E6" s="59"/>
      <c r="F6" s="35"/>
      <c r="G6" s="60" t="str">
        <f>IF(F6="","",IF(Setup!$B$5="No",F6+E6-1,WORKDAY.INTL(F6,E6-1,1,skip_days)))</f>
        <v/>
      </c>
      <c r="H6" s="60"/>
      <c r="I6" s="35"/>
      <c r="J6" s="86"/>
    </row>
    <row r="7" spans="1:10" x14ac:dyDescent="0.3">
      <c r="A7" s="32"/>
      <c r="B7" s="33" t="s">
        <v>206</v>
      </c>
      <c r="E7" s="59"/>
      <c r="F7" s="35"/>
      <c r="G7" s="60" t="str">
        <f>IF(F7="","",IF(Setup!$B$5="No",F7+E7-1,WORKDAY.INTL(F7,E7-1,1,skip_days)))</f>
        <v/>
      </c>
      <c r="H7" s="60"/>
      <c r="I7" s="35"/>
      <c r="J7" s="86"/>
    </row>
    <row r="8" spans="1:10" x14ac:dyDescent="0.3">
      <c r="A8" s="32"/>
      <c r="B8" s="33" t="s">
        <v>207</v>
      </c>
      <c r="E8" s="59"/>
      <c r="F8" s="35"/>
      <c r="G8" s="60" t="str">
        <f>IF(F8="","",IF(Setup!$B$5="No",F8+E8-1,WORKDAY.INTL(F8,E8-1,1,skip_days)))</f>
        <v/>
      </c>
      <c r="H8" s="60"/>
      <c r="I8" s="35"/>
      <c r="J8" s="86"/>
    </row>
    <row r="9" spans="1:10" x14ac:dyDescent="0.3">
      <c r="A9" s="32"/>
      <c r="B9" s="33" t="s">
        <v>208</v>
      </c>
      <c r="E9" s="59"/>
      <c r="F9" s="35"/>
      <c r="G9" s="60" t="str">
        <f>IF(F9="","",IF(Setup!$B$5="No",F9+E9-1,WORKDAY.INTL(F9,E9-1,1,skip_days)))</f>
        <v/>
      </c>
      <c r="H9" s="60"/>
      <c r="I9" s="35"/>
      <c r="J9" s="86"/>
    </row>
    <row r="10" spans="1:10" x14ac:dyDescent="0.3">
      <c r="A10" s="32"/>
      <c r="B10" s="33" t="s">
        <v>209</v>
      </c>
      <c r="E10" s="59"/>
      <c r="F10" s="35"/>
      <c r="G10" s="60" t="str">
        <f>IF(F10="","",IF(Setup!$B$5="No",F10+E10-1,WORKDAY.INTL(F10,E10-1,1,skip_days)))</f>
        <v/>
      </c>
      <c r="H10" s="60"/>
      <c r="I10" s="35"/>
      <c r="J10" s="86"/>
    </row>
    <row r="11" spans="1:10" x14ac:dyDescent="0.3">
      <c r="A11" s="32" t="s">
        <v>201</v>
      </c>
      <c r="B11" s="33" t="s">
        <v>201</v>
      </c>
      <c r="E11" s="59">
        <v>19</v>
      </c>
      <c r="F11" s="35">
        <v>44991</v>
      </c>
      <c r="G11" s="60">
        <f>IF(F11="","",IF(Setup!$B$5="No",F11+E11-1,WORKDAY.INTL(F11,E11-1,1,skip_days)))</f>
        <v>45015</v>
      </c>
      <c r="H11" s="60">
        <v>44991</v>
      </c>
      <c r="I11" s="35"/>
      <c r="J11" s="86"/>
    </row>
    <row r="12" spans="1:10" x14ac:dyDescent="0.3">
      <c r="A12" s="32"/>
      <c r="B12" s="33" t="s">
        <v>210</v>
      </c>
      <c r="C12" s="34" t="s">
        <v>218</v>
      </c>
      <c r="D12" s="34" t="s">
        <v>219</v>
      </c>
      <c r="E12" s="59">
        <v>7</v>
      </c>
      <c r="F12" s="35">
        <v>44993</v>
      </c>
      <c r="G12" s="60">
        <f>IF(F12="","",IF(Setup!$B$5="No",F12+E12-1,WORKDAY.INTL(F12,E12-1,1,skip_days)))</f>
        <v>45001</v>
      </c>
      <c r="H12" s="60">
        <v>44993</v>
      </c>
      <c r="I12" s="35"/>
      <c r="J12" s="86"/>
    </row>
    <row r="13" spans="1:10" x14ac:dyDescent="0.3">
      <c r="A13" s="32"/>
      <c r="B13" s="33" t="s">
        <v>211</v>
      </c>
      <c r="C13" s="34" t="s">
        <v>220</v>
      </c>
      <c r="D13" s="34" t="s">
        <v>221</v>
      </c>
      <c r="E13" s="59">
        <v>12</v>
      </c>
      <c r="F13" s="35">
        <v>44991</v>
      </c>
      <c r="G13" s="60">
        <f>IF(F13="","",IF(Setup!$B$5="No",F13+E13-1,WORKDAY.INTL(F13,E13-1,1,skip_days)))</f>
        <v>45006</v>
      </c>
      <c r="H13" s="60">
        <v>44991</v>
      </c>
      <c r="I13" s="35"/>
      <c r="J13" s="86"/>
    </row>
    <row r="14" spans="1:10" x14ac:dyDescent="0.3">
      <c r="A14" s="32"/>
      <c r="B14" s="33" t="s">
        <v>212</v>
      </c>
      <c r="C14" s="34" t="s">
        <v>220</v>
      </c>
      <c r="D14" s="34" t="s">
        <v>221</v>
      </c>
      <c r="E14" s="59">
        <v>4</v>
      </c>
      <c r="F14" s="35">
        <v>45007</v>
      </c>
      <c r="G14" s="60">
        <f>IF(F14="","",IF(Setup!$B$5="No",F14+E14-1,WORKDAY.INTL(F14,E14-1,1,skip_days)))</f>
        <v>45012</v>
      </c>
      <c r="H14" s="60"/>
      <c r="I14" s="35"/>
      <c r="J14" s="86"/>
    </row>
    <row r="15" spans="1:10" x14ac:dyDescent="0.3">
      <c r="A15" s="32"/>
      <c r="B15" s="33" t="s">
        <v>228</v>
      </c>
      <c r="C15" s="34" t="s">
        <v>12</v>
      </c>
      <c r="D15" s="34" t="s">
        <v>222</v>
      </c>
      <c r="E15" s="59">
        <v>1</v>
      </c>
      <c r="F15" s="35">
        <v>45013</v>
      </c>
      <c r="G15" s="60">
        <f>IF(F15="","",IF(Setup!$B$5="No",F15+E15-1,WORKDAY.INTL(F15,E15-1,1,skip_days)))</f>
        <v>45013</v>
      </c>
      <c r="H15" s="60"/>
      <c r="I15" s="35"/>
      <c r="J15" s="86"/>
    </row>
    <row r="16" spans="1:10" x14ac:dyDescent="0.3">
      <c r="A16" s="32"/>
      <c r="B16" s="33" t="s">
        <v>229</v>
      </c>
      <c r="C16" s="34" t="s">
        <v>220</v>
      </c>
      <c r="D16" s="34" t="s">
        <v>221</v>
      </c>
      <c r="E16" s="59">
        <v>1</v>
      </c>
      <c r="F16" s="35">
        <v>45014</v>
      </c>
      <c r="G16" s="60">
        <f>IF(F16="","",IF(Setup!$B$5="No",F16+E16-1,WORKDAY.INTL(F16,E16-1,1,skip_days)))</f>
        <v>45014</v>
      </c>
      <c r="H16" s="60"/>
      <c r="I16" s="35"/>
      <c r="J16" s="86"/>
    </row>
    <row r="17" spans="1:10" x14ac:dyDescent="0.3">
      <c r="A17" s="32" t="s">
        <v>202</v>
      </c>
      <c r="B17" s="33" t="s">
        <v>213</v>
      </c>
      <c r="C17" s="34" t="s">
        <v>12</v>
      </c>
      <c r="D17" s="34" t="s">
        <v>222</v>
      </c>
      <c r="E17" s="59">
        <v>3</v>
      </c>
      <c r="F17" s="35">
        <v>45015</v>
      </c>
      <c r="G17" s="60">
        <f>IF(F17="","",IF(Setup!$B$5="No",F17+E17-1,WORKDAY.INTL(F17,E17-1,1,skip_days)))</f>
        <v>45022</v>
      </c>
      <c r="H17" s="60"/>
      <c r="I17" s="35"/>
      <c r="J17" s="86"/>
    </row>
    <row r="18" spans="1:10" x14ac:dyDescent="0.3">
      <c r="A18" s="32"/>
      <c r="B18" s="33" t="s">
        <v>213</v>
      </c>
      <c r="E18" s="59">
        <v>1</v>
      </c>
      <c r="F18" s="35">
        <v>45015</v>
      </c>
      <c r="G18" s="60">
        <f>IF(F18="","",IF(Setup!$B$5="No",F18+E18-1,WORKDAY.INTL(F18,E18-1,1,skip_days)))</f>
        <v>45015</v>
      </c>
      <c r="H18" s="60"/>
      <c r="I18" s="35"/>
      <c r="J18" s="86"/>
    </row>
    <row r="19" spans="1:10" x14ac:dyDescent="0.3">
      <c r="A19" s="32"/>
      <c r="B19" s="33" t="s">
        <v>224</v>
      </c>
      <c r="E19" s="59">
        <v>1</v>
      </c>
      <c r="F19" s="35">
        <v>45016</v>
      </c>
      <c r="G19" s="60">
        <f>IF(F19="","",IF(Setup!$B$5="No",F19+E19-1,WORKDAY.INTL(F19,E19-1,1,skip_days)))</f>
        <v>45016</v>
      </c>
      <c r="H19" s="60"/>
      <c r="I19" s="35"/>
      <c r="J19" s="86"/>
    </row>
    <row r="20" spans="1:10" x14ac:dyDescent="0.3">
      <c r="A20" s="32"/>
      <c r="B20" s="33" t="s">
        <v>213</v>
      </c>
      <c r="E20" s="59">
        <v>1</v>
      </c>
      <c r="F20" s="35">
        <v>45022</v>
      </c>
      <c r="G20" s="60">
        <f>IF(F20="","",IF(Setup!$B$5="No",F20+E20-1,WORKDAY.INTL(F20,E20-1,1,skip_days)))</f>
        <v>45022</v>
      </c>
      <c r="H20" s="60"/>
      <c r="I20" s="35"/>
      <c r="J20" s="86"/>
    </row>
    <row r="21" spans="1:10" x14ac:dyDescent="0.3">
      <c r="A21" s="32" t="s">
        <v>225</v>
      </c>
      <c r="B21" s="33" t="s">
        <v>225</v>
      </c>
      <c r="C21" s="34" t="s">
        <v>12</v>
      </c>
      <c r="D21" s="34" t="s">
        <v>222</v>
      </c>
      <c r="E21" s="59">
        <v>2</v>
      </c>
      <c r="F21" s="35">
        <v>45023</v>
      </c>
      <c r="G21" s="60">
        <f>IF(F21="","",IF(Setup!$B$5="No",F21+E21-1,WORKDAY.INTL(F21,E21-1,1,skip_days)))</f>
        <v>45026</v>
      </c>
      <c r="H21" s="60"/>
      <c r="I21" s="35"/>
      <c r="J21" s="86"/>
    </row>
    <row r="22" spans="1:10" x14ac:dyDescent="0.3">
      <c r="A22" s="32"/>
      <c r="B22" s="33" t="s">
        <v>226</v>
      </c>
      <c r="C22" s="34" t="s">
        <v>220</v>
      </c>
      <c r="D22" s="34" t="s">
        <v>221</v>
      </c>
      <c r="E22" s="59">
        <v>1</v>
      </c>
      <c r="F22" s="35">
        <v>45023</v>
      </c>
      <c r="G22" s="60">
        <f>IF(F22="","",IF(Setup!$B$5="No",F22+E22-1,WORKDAY.INTL(F22,E22-1,1,skip_days)))</f>
        <v>45023</v>
      </c>
      <c r="H22" s="60"/>
      <c r="I22" s="35"/>
      <c r="J22" s="86"/>
    </row>
    <row r="23" spans="1:10" x14ac:dyDescent="0.3">
      <c r="A23" s="32"/>
      <c r="B23" s="33" t="s">
        <v>227</v>
      </c>
      <c r="C23" s="34" t="s">
        <v>220</v>
      </c>
      <c r="D23" s="34" t="s">
        <v>221</v>
      </c>
      <c r="E23" s="59">
        <v>1</v>
      </c>
      <c r="F23" s="35">
        <v>45023</v>
      </c>
      <c r="G23" s="60">
        <f>IF(F23="","",IF(Setup!$B$5="No",F23+E23-1,WORKDAY.INTL(F23,E23-1,1,skip_days)))</f>
        <v>45023</v>
      </c>
      <c r="H23" s="60"/>
      <c r="I23" s="35"/>
      <c r="J23" s="86"/>
    </row>
    <row r="24" spans="1:10" x14ac:dyDescent="0.3">
      <c r="A24" s="32"/>
      <c r="B24" s="33" t="s">
        <v>202</v>
      </c>
      <c r="C24" s="34" t="s">
        <v>12</v>
      </c>
      <c r="D24" s="34" t="s">
        <v>222</v>
      </c>
      <c r="E24" s="59">
        <v>1</v>
      </c>
      <c r="F24" s="35">
        <v>45023</v>
      </c>
      <c r="G24" s="60">
        <f>IF(F24="","",IF(Setup!$B$5="No",F24+E24-1,WORKDAY.INTL(F24,E24-1,1,skip_days)))</f>
        <v>45023</v>
      </c>
      <c r="H24" s="60"/>
      <c r="I24" s="35"/>
      <c r="J24" s="86"/>
    </row>
    <row r="25" spans="1:10" x14ac:dyDescent="0.3">
      <c r="A25" s="32"/>
      <c r="E25" s="59" t="s">
        <v>188</v>
      </c>
      <c r="F25" s="35"/>
      <c r="G25" s="60" t="str">
        <f>IF(F25="","",IF(Setup!$B$5="No",F25+E25-1,WORKDAY.INTL(F25,E25-1,1,skip_days)))</f>
        <v/>
      </c>
      <c r="H25" s="60"/>
      <c r="I25" s="35"/>
      <c r="J25" s="35"/>
    </row>
    <row r="26" spans="1:10" x14ac:dyDescent="0.3">
      <c r="A26" s="32"/>
      <c r="E26" s="59" t="s">
        <v>188</v>
      </c>
      <c r="F26" s="35"/>
      <c r="G26" s="60" t="str">
        <f>IF(F26="","",IF(Setup!$B$5="No",F26+E26-1,WORKDAY.INTL(F26,E26-1,1,skip_days)))</f>
        <v/>
      </c>
      <c r="H26" s="60"/>
      <c r="I26" s="35"/>
      <c r="J26" s="35"/>
    </row>
    <row r="27" spans="1:10" x14ac:dyDescent="0.3">
      <c r="A27" s="32"/>
      <c r="E27" s="59" t="s">
        <v>188</v>
      </c>
      <c r="F27" s="35"/>
      <c r="G27" s="60" t="str">
        <f>IF(F27="","",IF(Setup!$B$5="No",F27+E27-1,WORKDAY.INTL(F27,E27-1,1,skip_days)))</f>
        <v/>
      </c>
      <c r="H27" s="60"/>
      <c r="I27" s="35"/>
      <c r="J27" s="35"/>
    </row>
    <row r="28" spans="1:10" x14ac:dyDescent="0.3">
      <c r="A28" s="32"/>
      <c r="E28" s="59" t="s">
        <v>188</v>
      </c>
      <c r="F28" s="35"/>
      <c r="G28" s="60" t="str">
        <f>IF(F28="","",IF(Setup!$B$5="No",F28+E28-1,WORKDAY.INTL(F28,E28-1,1,skip_days)))</f>
        <v/>
      </c>
      <c r="H28" s="60"/>
      <c r="I28" s="35"/>
      <c r="J28" s="35"/>
    </row>
    <row r="29" spans="1:10" x14ac:dyDescent="0.3">
      <c r="A29" s="32"/>
      <c r="E29" s="59" t="s">
        <v>188</v>
      </c>
      <c r="F29" s="35"/>
      <c r="G29" s="60" t="str">
        <f>IF(F29="","",IF(Setup!$B$5="No",F29+E29-1,WORKDAY.INTL(F29,E29-1,1,skip_days)))</f>
        <v/>
      </c>
      <c r="H29" s="60"/>
      <c r="I29" s="35"/>
      <c r="J29" s="35"/>
    </row>
    <row r="30" spans="1:10" x14ac:dyDescent="0.3">
      <c r="A30" s="32"/>
      <c r="E30" s="59" t="s">
        <v>188</v>
      </c>
      <c r="F30" s="35"/>
      <c r="G30" s="60" t="str">
        <f>IF(F30="","",IF(Setup!$B$5="No",F30+E30-1,WORKDAY.INTL(F30,E30-1,1,skip_days)))</f>
        <v/>
      </c>
      <c r="H30" s="60"/>
      <c r="I30" s="35"/>
      <c r="J30" s="35"/>
    </row>
    <row r="31" spans="1:10" x14ac:dyDescent="0.3">
      <c r="A31" s="32"/>
      <c r="E31" s="59" t="s">
        <v>188</v>
      </c>
      <c r="F31" s="35"/>
      <c r="G31" s="60" t="str">
        <f>IF(F31="","",IF(Setup!$B$5="No",F31+E31-1,WORKDAY.INTL(F31,E31-1,1,skip_days)))</f>
        <v/>
      </c>
      <c r="H31" s="60"/>
      <c r="I31" s="35"/>
      <c r="J31" s="35"/>
    </row>
    <row r="32" spans="1:10" x14ac:dyDescent="0.3">
      <c r="A32" s="32"/>
      <c r="E32" s="59" t="s">
        <v>188</v>
      </c>
      <c r="F32" s="35"/>
      <c r="G32" s="60" t="str">
        <f>IF(F32="","",IF(Setup!$B$5="No",F32+E32-1,WORKDAY.INTL(F32,E32-1,1,skip_days)))</f>
        <v/>
      </c>
      <c r="H32" s="60"/>
      <c r="I32" s="35"/>
      <c r="J32" s="35"/>
    </row>
    <row r="33" spans="1:10" x14ac:dyDescent="0.3">
      <c r="A33" s="32"/>
      <c r="E33" s="59" t="s">
        <v>188</v>
      </c>
      <c r="F33" s="35"/>
      <c r="G33" s="60" t="str">
        <f>IF(F33="","",IF(Setup!$B$5="No",F33+E33-1,WORKDAY.INTL(F33,E33-1,1,skip_days)))</f>
        <v/>
      </c>
      <c r="H33" s="60"/>
      <c r="I33" s="35"/>
      <c r="J33" s="35"/>
    </row>
    <row r="34" spans="1:10" x14ac:dyDescent="0.3">
      <c r="A34" s="32"/>
      <c r="E34" s="59" t="s">
        <v>188</v>
      </c>
      <c r="F34" s="35"/>
      <c r="G34" s="60" t="str">
        <f>IF(F34="","",IF(Setup!$B$5="No",F34+E34-1,WORKDAY.INTL(F34,E34-1,1,skip_days)))</f>
        <v/>
      </c>
      <c r="H34" s="60"/>
      <c r="I34" s="35"/>
      <c r="J34" s="35"/>
    </row>
    <row r="35" spans="1:10" x14ac:dyDescent="0.3">
      <c r="A35" s="32"/>
      <c r="E35" s="59" t="s">
        <v>188</v>
      </c>
      <c r="F35" s="35"/>
      <c r="G35" s="60" t="str">
        <f>IF(F35="","",IF(Setup!$B$5="No",F35+E35-1,WORKDAY.INTL(F35,E35-1,1,skip_days)))</f>
        <v/>
      </c>
      <c r="H35" s="60"/>
      <c r="I35" s="35"/>
      <c r="J35" s="35"/>
    </row>
    <row r="36" spans="1:10" x14ac:dyDescent="0.3">
      <c r="A36" s="32"/>
      <c r="E36" s="59" t="s">
        <v>188</v>
      </c>
      <c r="F36" s="35"/>
      <c r="G36" s="60" t="str">
        <f>IF(F36="","",IF(Setup!$B$5="No",F36+E36-1,WORKDAY.INTL(F36,E36-1,1,skip_days)))</f>
        <v/>
      </c>
      <c r="H36" s="60"/>
      <c r="I36" s="35"/>
      <c r="J36" s="35"/>
    </row>
    <row r="37" spans="1:10" x14ac:dyDescent="0.3">
      <c r="A37" s="32"/>
      <c r="E37" s="59" t="s">
        <v>188</v>
      </c>
      <c r="F37" s="35"/>
      <c r="G37" s="60" t="str">
        <f>IF(F37="","",IF(Setup!$B$5="No",F37+E37-1,WORKDAY.INTL(F37,E37-1,1,skip_days)))</f>
        <v/>
      </c>
      <c r="H37" s="60"/>
      <c r="I37" s="35"/>
      <c r="J37" s="35"/>
    </row>
    <row r="38" spans="1:10" x14ac:dyDescent="0.3">
      <c r="A38" s="32"/>
      <c r="E38" s="59" t="s">
        <v>188</v>
      </c>
      <c r="F38" s="35"/>
      <c r="G38" s="60" t="str">
        <f>IF(F38="","",IF(Setup!$B$5="No",F38+E38-1,WORKDAY.INTL(F38,E38-1,1,skip_days)))</f>
        <v/>
      </c>
      <c r="H38" s="60"/>
      <c r="I38" s="35"/>
      <c r="J38" s="35"/>
    </row>
    <row r="39" spans="1:10" x14ac:dyDescent="0.3">
      <c r="A39" s="32"/>
      <c r="E39" s="59" t="s">
        <v>188</v>
      </c>
      <c r="F39" s="35"/>
      <c r="G39" s="60" t="str">
        <f>IF(F39="","",IF(Setup!$B$5="No",F39+E39-1,WORKDAY.INTL(F39,E39-1,1,skip_days)))</f>
        <v/>
      </c>
      <c r="H39" s="60"/>
      <c r="I39" s="35"/>
      <c r="J39" s="35"/>
    </row>
    <row r="40" spans="1:10" x14ac:dyDescent="0.3">
      <c r="A40" s="32"/>
      <c r="E40" s="59" t="s">
        <v>188</v>
      </c>
      <c r="F40" s="35"/>
      <c r="G40" s="60" t="str">
        <f>IF(F40="","",IF(Setup!$B$5="No",F40+E40-1,WORKDAY.INTL(F40,E40-1,1,skip_days)))</f>
        <v/>
      </c>
      <c r="H40" s="60"/>
      <c r="I40" s="35"/>
      <c r="J40" s="35"/>
    </row>
    <row r="41" spans="1:10" x14ac:dyDescent="0.3">
      <c r="A41" s="32"/>
      <c r="E41" s="59" t="s">
        <v>188</v>
      </c>
      <c r="F41" s="35"/>
      <c r="G41" s="60" t="str">
        <f>IF(F41="","",IF(Setup!$B$5="No",F41+E41-1,WORKDAY.INTL(F41,E41-1,1,skip_days)))</f>
        <v/>
      </c>
      <c r="H41" s="60"/>
      <c r="I41" s="35"/>
      <c r="J41" s="35"/>
    </row>
    <row r="42" spans="1:10" x14ac:dyDescent="0.3">
      <c r="A42" s="32"/>
      <c r="E42" s="59" t="s">
        <v>188</v>
      </c>
      <c r="F42" s="35"/>
      <c r="G42" s="60" t="str">
        <f>IF(F42="","",IF(Setup!$B$5="No",F42+E42-1,WORKDAY.INTL(F42,E42-1,1,skip_days)))</f>
        <v/>
      </c>
      <c r="H42" s="60"/>
      <c r="I42" s="35"/>
      <c r="J42" s="35"/>
    </row>
    <row r="43" spans="1:10" x14ac:dyDescent="0.3">
      <c r="A43" s="32"/>
      <c r="E43" s="59" t="s">
        <v>188</v>
      </c>
      <c r="F43" s="35"/>
      <c r="G43" s="60" t="str">
        <f>IF(F43="","",IF(Setup!$B$5="No",F43+E43-1,WORKDAY.INTL(F43,E43-1,1,skip_days)))</f>
        <v/>
      </c>
      <c r="H43" s="60"/>
      <c r="I43" s="35"/>
      <c r="J43" s="35"/>
    </row>
    <row r="44" spans="1:10" x14ac:dyDescent="0.3">
      <c r="A44" s="32"/>
      <c r="E44" s="59" t="s">
        <v>188</v>
      </c>
      <c r="F44" s="35"/>
      <c r="G44" s="60" t="str">
        <f>IF(F44="","",IF(Setup!$B$5="No",F44+E44-1,WORKDAY.INTL(F44,E44-1,1,skip_days)))</f>
        <v/>
      </c>
      <c r="H44" s="60"/>
      <c r="I44" s="35"/>
      <c r="J44" s="35"/>
    </row>
    <row r="45" spans="1:10" x14ac:dyDescent="0.3">
      <c r="A45" s="32"/>
      <c r="E45" s="59" t="s">
        <v>188</v>
      </c>
      <c r="F45" s="35"/>
      <c r="G45" s="60" t="str">
        <f>IF(F45="","",IF(Setup!$B$5="No",F45+E45-1,WORKDAY.INTL(F45,E45-1,1,skip_days)))</f>
        <v/>
      </c>
      <c r="H45" s="60"/>
      <c r="I45" s="35"/>
      <c r="J45" s="35"/>
    </row>
    <row r="46" spans="1:10" x14ac:dyDescent="0.3">
      <c r="A46" s="32"/>
      <c r="E46" s="59" t="s">
        <v>188</v>
      </c>
      <c r="F46" s="35"/>
      <c r="G46" s="60" t="str">
        <f>IF(F46="","",IF(Setup!$B$5="No",F46+E46-1,WORKDAY.INTL(F46,E46-1,1,skip_days)))</f>
        <v/>
      </c>
      <c r="H46" s="60"/>
      <c r="I46" s="35"/>
      <c r="J46" s="35"/>
    </row>
    <row r="47" spans="1:10" x14ac:dyDescent="0.3">
      <c r="A47" s="32"/>
      <c r="E47" s="59" t="s">
        <v>188</v>
      </c>
      <c r="F47" s="35"/>
      <c r="G47" s="60" t="str">
        <f>IF(F47="","",IF(Setup!$B$5="No",F47+E47-1,WORKDAY.INTL(F47,E47-1,1,skip_days)))</f>
        <v/>
      </c>
      <c r="H47" s="60"/>
      <c r="I47" s="35"/>
      <c r="J47" s="35"/>
    </row>
    <row r="48" spans="1:10" x14ac:dyDescent="0.3">
      <c r="A48" s="32"/>
      <c r="E48" s="59" t="s">
        <v>188</v>
      </c>
      <c r="F48" s="35"/>
      <c r="G48" s="60" t="str">
        <f>IF(F48="","",IF(Setup!$B$5="No",F48+E48-1,WORKDAY.INTL(F48,E48-1,1,skip_days)))</f>
        <v/>
      </c>
      <c r="H48" s="60"/>
      <c r="I48" s="35"/>
      <c r="J48" s="35"/>
    </row>
    <row r="49" spans="1:10" x14ac:dyDescent="0.3">
      <c r="A49" s="32"/>
      <c r="E49" s="59" t="s">
        <v>188</v>
      </c>
      <c r="F49" s="35"/>
      <c r="G49" s="60" t="str">
        <f>IF(F49="","",IF(Setup!$B$5="No",F49+E49-1,WORKDAY.INTL(F49,E49-1,1,skip_days)))</f>
        <v/>
      </c>
      <c r="H49" s="60"/>
      <c r="I49" s="35"/>
      <c r="J49" s="35"/>
    </row>
    <row r="50" spans="1:10" x14ac:dyDescent="0.3">
      <c r="A50" s="32"/>
      <c r="E50" s="59" t="s">
        <v>188</v>
      </c>
      <c r="F50" s="35"/>
      <c r="G50" s="60" t="str">
        <f>IF(F50="","",IF(Setup!$B$5="No",F50+E50-1,WORKDAY.INTL(F50,E50-1,1,skip_days)))</f>
        <v/>
      </c>
      <c r="H50" s="60"/>
      <c r="I50" s="35"/>
      <c r="J50" s="35"/>
    </row>
    <row r="51" spans="1:10" x14ac:dyDescent="0.3">
      <c r="A51" s="32"/>
      <c r="E51" s="59" t="s">
        <v>188</v>
      </c>
      <c r="F51" s="35"/>
      <c r="G51" s="60" t="str">
        <f>IF(F51="","",IF(Setup!$B$5="No",F51+E51-1,WORKDAY.INTL(F51,E51-1,1,skip_days)))</f>
        <v/>
      </c>
      <c r="H51" s="60"/>
      <c r="I51" s="35"/>
      <c r="J51" s="35"/>
    </row>
    <row r="52" spans="1:10" x14ac:dyDescent="0.3">
      <c r="A52" s="32"/>
      <c r="E52" s="59" t="s">
        <v>188</v>
      </c>
      <c r="F52" s="35"/>
      <c r="G52" s="60" t="str">
        <f>IF(F52="","",IF(Setup!$B$5="No",F52+E52-1,WORKDAY.INTL(F52,E52-1,1,skip_days)))</f>
        <v/>
      </c>
      <c r="H52" s="60"/>
      <c r="I52" s="35"/>
      <c r="J52" s="35"/>
    </row>
    <row r="53" spans="1:10" x14ac:dyDescent="0.3">
      <c r="A53" s="32"/>
      <c r="E53" s="59" t="s">
        <v>188</v>
      </c>
      <c r="F53" s="35"/>
      <c r="G53" s="60" t="str">
        <f>IF(F53="","",IF(Setup!$B$5="No",F53+E53-1,WORKDAY.INTL(F53,E53-1,1,skip_days)))</f>
        <v/>
      </c>
      <c r="H53" s="60"/>
      <c r="I53" s="35"/>
      <c r="J53" s="35"/>
    </row>
    <row r="54" spans="1:10" x14ac:dyDescent="0.3">
      <c r="A54" s="32"/>
      <c r="E54" s="59" t="s">
        <v>188</v>
      </c>
      <c r="F54" s="35"/>
      <c r="G54" s="60" t="str">
        <f>IF(F54="","",IF(Setup!$B$5="No",F54+E54-1,WORKDAY.INTL(F54,E54-1,1,skip_days)))</f>
        <v/>
      </c>
      <c r="H54" s="60"/>
      <c r="I54" s="35"/>
      <c r="J54" s="35"/>
    </row>
    <row r="55" spans="1:10" x14ac:dyDescent="0.3">
      <c r="A55" s="32"/>
      <c r="E55" s="59" t="s">
        <v>188</v>
      </c>
      <c r="F55" s="35"/>
      <c r="G55" s="60" t="str">
        <f>IF(F55="","",IF(Setup!$B$5="No",F55+E55-1,WORKDAY.INTL(F55,E55-1,1,skip_days)))</f>
        <v/>
      </c>
      <c r="H55" s="60"/>
      <c r="I55" s="35"/>
      <c r="J55" s="35"/>
    </row>
    <row r="56" spans="1:10" x14ac:dyDescent="0.3">
      <c r="A56" s="32"/>
      <c r="E56" s="59" t="s">
        <v>188</v>
      </c>
      <c r="F56" s="35"/>
      <c r="G56" s="60" t="str">
        <f>IF(F56="","",IF(Setup!$B$5="No",F56+E56-1,WORKDAY.INTL(F56,E56-1,1,skip_days)))</f>
        <v/>
      </c>
      <c r="H56" s="60"/>
      <c r="I56" s="35"/>
      <c r="J56" s="35"/>
    </row>
    <row r="57" spans="1:10" x14ac:dyDescent="0.3">
      <c r="A57" s="32"/>
      <c r="E57" s="59" t="s">
        <v>188</v>
      </c>
      <c r="F57" s="35"/>
      <c r="G57" s="60" t="str">
        <f>IF(F57="","",IF(Setup!$B$5="No",F57+E57-1,WORKDAY.INTL(F57,E57-1,1,skip_days)))</f>
        <v/>
      </c>
      <c r="H57" s="60"/>
      <c r="I57" s="35"/>
      <c r="J57" s="35"/>
    </row>
    <row r="58" spans="1:10" x14ac:dyDescent="0.3">
      <c r="A58" s="32"/>
      <c r="E58" s="59" t="s">
        <v>188</v>
      </c>
      <c r="F58" s="35"/>
      <c r="G58" s="60" t="str">
        <f>IF(F58="","",IF(Setup!$B$5="No",F58+E58-1,WORKDAY.INTL(F58,E58-1,1,skip_days)))</f>
        <v/>
      </c>
      <c r="H58" s="60"/>
      <c r="I58" s="35"/>
      <c r="J58" s="35"/>
    </row>
    <row r="59" spans="1:10" x14ac:dyDescent="0.3">
      <c r="A59" s="32"/>
      <c r="E59" s="59" t="s">
        <v>188</v>
      </c>
      <c r="F59" s="35"/>
      <c r="G59" s="60" t="str">
        <f>IF(F59="","",IF(Setup!$B$5="No",F59+E59-1,WORKDAY.INTL(F59,E59-1,1,skip_days)))</f>
        <v/>
      </c>
      <c r="H59" s="60"/>
      <c r="I59" s="35"/>
      <c r="J59" s="35"/>
    </row>
    <row r="60" spans="1:10" x14ac:dyDescent="0.3">
      <c r="A60" s="32"/>
      <c r="E60" s="59" t="s">
        <v>188</v>
      </c>
      <c r="F60" s="35"/>
      <c r="G60" s="60" t="str">
        <f>IF(F60="","",IF(Setup!$B$5="No",F60+E60-1,WORKDAY.INTL(F60,E60-1,1,skip_days)))</f>
        <v/>
      </c>
      <c r="H60" s="60"/>
      <c r="I60" s="35"/>
      <c r="J60" s="35"/>
    </row>
    <row r="61" spans="1:10" x14ac:dyDescent="0.3">
      <c r="A61" s="32"/>
      <c r="E61" s="59" t="s">
        <v>188</v>
      </c>
      <c r="F61" s="35"/>
      <c r="G61" s="60" t="str">
        <f>IF(F61="","",IF(Setup!$B$5="No",F61+E61-1,WORKDAY.INTL(F61,E61-1,1,skip_days)))</f>
        <v/>
      </c>
      <c r="H61" s="60"/>
      <c r="I61" s="35"/>
      <c r="J61" s="35"/>
    </row>
    <row r="62" spans="1:10" x14ac:dyDescent="0.3">
      <c r="A62" s="32"/>
      <c r="E62" s="59" t="s">
        <v>188</v>
      </c>
      <c r="F62" s="35"/>
      <c r="G62" s="60" t="str">
        <f>IF(F62="","",IF(Setup!$B$5="No",F62+E62-1,WORKDAY.INTL(F62,E62-1,1,skip_days)))</f>
        <v/>
      </c>
      <c r="H62" s="60"/>
      <c r="I62" s="35"/>
      <c r="J62" s="35"/>
    </row>
    <row r="63" spans="1:10" x14ac:dyDescent="0.3">
      <c r="A63" s="32"/>
      <c r="E63" s="59" t="s">
        <v>188</v>
      </c>
      <c r="F63" s="35"/>
      <c r="G63" s="60" t="str">
        <f>IF(F63="","",IF(Setup!$B$5="No",F63+E63-1,WORKDAY.INTL(F63,E63-1,1,skip_days)))</f>
        <v/>
      </c>
      <c r="H63" s="60"/>
      <c r="I63" s="35"/>
      <c r="J63" s="35"/>
    </row>
    <row r="64" spans="1:10" x14ac:dyDescent="0.3">
      <c r="A64" s="32"/>
      <c r="E64" s="59" t="s">
        <v>188</v>
      </c>
      <c r="F64" s="35"/>
      <c r="G64" s="60" t="str">
        <f>IF(F64="","",IF(Setup!$B$5="No",F64+E64-1,WORKDAY.INTL(F64,E64-1,1,skip_days)))</f>
        <v/>
      </c>
      <c r="H64" s="60"/>
      <c r="I64" s="35"/>
      <c r="J64" s="35"/>
    </row>
    <row r="65" spans="1:10" x14ac:dyDescent="0.3">
      <c r="A65" s="32"/>
      <c r="E65" s="59" t="s">
        <v>188</v>
      </c>
      <c r="F65" s="35"/>
      <c r="G65" s="60" t="str">
        <f>IF(F65="","",IF(Setup!$B$5="No",F65+E65-1,WORKDAY.INTL(F65,E65-1,1,skip_days)))</f>
        <v/>
      </c>
      <c r="H65" s="60"/>
      <c r="I65" s="35"/>
      <c r="J65" s="35"/>
    </row>
    <row r="66" spans="1:10" x14ac:dyDescent="0.3">
      <c r="A66" s="32"/>
      <c r="E66" s="59" t="s">
        <v>188</v>
      </c>
      <c r="F66" s="35"/>
      <c r="G66" s="60" t="str">
        <f>IF(F66="","",IF(Setup!$B$5="No",F66+E66-1,WORKDAY.INTL(F66,E66-1,1,skip_days)))</f>
        <v/>
      </c>
      <c r="H66" s="60"/>
      <c r="I66" s="35"/>
      <c r="J66" s="35"/>
    </row>
    <row r="67" spans="1:10" x14ac:dyDescent="0.3">
      <c r="A67" s="32"/>
      <c r="E67" s="59" t="s">
        <v>188</v>
      </c>
      <c r="F67" s="35"/>
      <c r="G67" s="60" t="str">
        <f>IF(F67="","",IF(Setup!$B$5="No",F67+E67-1,WORKDAY.INTL(F67,E67-1,1,skip_days)))</f>
        <v/>
      </c>
      <c r="H67" s="60"/>
      <c r="I67" s="35"/>
      <c r="J67" s="35"/>
    </row>
    <row r="68" spans="1:10" x14ac:dyDescent="0.3">
      <c r="A68" s="32"/>
      <c r="E68" s="59" t="s">
        <v>188</v>
      </c>
      <c r="F68" s="35"/>
      <c r="G68" s="60" t="str">
        <f>IF(F68="","",IF(Setup!$B$5="No",F68+E68-1,WORKDAY.INTL(F68,E68-1,1,skip_days)))</f>
        <v/>
      </c>
      <c r="H68" s="60"/>
      <c r="I68" s="35"/>
      <c r="J68" s="35"/>
    </row>
    <row r="69" spans="1:10" x14ac:dyDescent="0.3">
      <c r="A69" s="32"/>
      <c r="E69" s="59" t="s">
        <v>188</v>
      </c>
      <c r="F69" s="35"/>
      <c r="G69" s="60" t="str">
        <f>IF(F69="","",IF(Setup!$B$5="No",F69+E69-1,WORKDAY.INTL(F69,E69-1,1,skip_days)))</f>
        <v/>
      </c>
      <c r="H69" s="60"/>
      <c r="I69" s="35"/>
      <c r="J69" s="35"/>
    </row>
    <row r="70" spans="1:10" x14ac:dyDescent="0.3">
      <c r="A70" s="32"/>
      <c r="E70" s="59" t="s">
        <v>188</v>
      </c>
      <c r="F70" s="35"/>
      <c r="G70" s="60" t="str">
        <f>IF(F70="","",IF(Setup!$B$5="No",F70+E70-1,WORKDAY.INTL(F70,E70-1,1,skip_days)))</f>
        <v/>
      </c>
      <c r="H70" s="60"/>
      <c r="I70" s="35"/>
      <c r="J70" s="35"/>
    </row>
    <row r="71" spans="1:10" x14ac:dyDescent="0.3">
      <c r="A71" s="32"/>
      <c r="E71" s="59" t="s">
        <v>188</v>
      </c>
      <c r="F71" s="35"/>
      <c r="G71" s="60" t="str">
        <f>IF(F71="","",IF(Setup!$B$5="No",F71+E71-1,WORKDAY.INTL(F71,E71-1,1,skip_days)))</f>
        <v/>
      </c>
      <c r="H71" s="60"/>
      <c r="I71" s="35"/>
      <c r="J71" s="35"/>
    </row>
    <row r="72" spans="1:10" x14ac:dyDescent="0.3">
      <c r="A72" s="32"/>
      <c r="E72" s="59" t="s">
        <v>188</v>
      </c>
      <c r="F72" s="35"/>
      <c r="G72" s="60" t="str">
        <f>IF(F72="","",IF(Setup!$B$5="No",F72+E72-1,WORKDAY.INTL(F72,E72-1,1,skip_days)))</f>
        <v/>
      </c>
      <c r="H72" s="60"/>
      <c r="I72" s="35"/>
      <c r="J72" s="35"/>
    </row>
    <row r="73" spans="1:10" x14ac:dyDescent="0.3">
      <c r="A73" s="32"/>
      <c r="E73" s="59" t="s">
        <v>188</v>
      </c>
      <c r="F73" s="35"/>
      <c r="G73" s="60" t="str">
        <f>IF(F73="","",IF(Setup!$B$5="No",F73+E73-1,WORKDAY.INTL(F73,E73-1,1,skip_days)))</f>
        <v/>
      </c>
      <c r="H73" s="60"/>
      <c r="I73" s="35"/>
      <c r="J73" s="35"/>
    </row>
    <row r="74" spans="1:10" x14ac:dyDescent="0.3">
      <c r="A74" s="32"/>
      <c r="E74" s="59" t="s">
        <v>188</v>
      </c>
      <c r="F74" s="35"/>
      <c r="G74" s="60" t="str">
        <f>IF(F74="","",IF(Setup!$B$5="No",F74+E74-1,WORKDAY.INTL(F74,E74-1,1,skip_days)))</f>
        <v/>
      </c>
      <c r="H74" s="60"/>
      <c r="I74" s="35"/>
      <c r="J74" s="35"/>
    </row>
    <row r="75" spans="1:10" x14ac:dyDescent="0.3">
      <c r="A75" s="32"/>
      <c r="E75" s="59" t="s">
        <v>188</v>
      </c>
      <c r="F75" s="35"/>
      <c r="G75" s="60" t="str">
        <f>IF(F75="","",IF(Setup!$B$5="No",F75+E75-1,WORKDAY.INTL(F75,E75-1,1,skip_days)))</f>
        <v/>
      </c>
      <c r="H75" s="60"/>
      <c r="I75" s="35"/>
      <c r="J75" s="35"/>
    </row>
    <row r="76" spans="1:10" x14ac:dyDescent="0.3">
      <c r="A76" s="32"/>
      <c r="E76" s="59" t="s">
        <v>188</v>
      </c>
      <c r="F76" s="35"/>
      <c r="G76" s="60" t="str">
        <f>IF(F76="","",IF(Setup!$B$5="No",F76+E76-1,WORKDAY.INTL(F76,E76-1,1,skip_days)))</f>
        <v/>
      </c>
      <c r="H76" s="60"/>
      <c r="I76" s="35"/>
      <c r="J76" s="35"/>
    </row>
    <row r="77" spans="1:10" x14ac:dyDescent="0.3">
      <c r="A77" s="32"/>
      <c r="E77" s="59" t="s">
        <v>188</v>
      </c>
      <c r="F77" s="35"/>
      <c r="G77" s="60" t="str">
        <f>IF(F77="","",IF(Setup!$B$5="No",F77+E77-1,WORKDAY.INTL(F77,E77-1,1,skip_days)))</f>
        <v/>
      </c>
      <c r="H77" s="60"/>
      <c r="I77" s="35"/>
      <c r="J77" s="35"/>
    </row>
    <row r="78" spans="1:10" x14ac:dyDescent="0.3">
      <c r="A78" s="32"/>
      <c r="E78" s="59" t="s">
        <v>188</v>
      </c>
      <c r="F78" s="35"/>
      <c r="G78" s="60" t="str">
        <f>IF(F78="","",IF(Setup!$B$5="No",F78+E78-1,WORKDAY.INTL(F78,E78-1,1,skip_days)))</f>
        <v/>
      </c>
      <c r="H78" s="60"/>
      <c r="I78" s="35"/>
      <c r="J78" s="35"/>
    </row>
    <row r="79" spans="1:10" x14ac:dyDescent="0.3">
      <c r="A79" s="32"/>
      <c r="E79" s="59" t="s">
        <v>188</v>
      </c>
      <c r="F79" s="35"/>
      <c r="G79" s="60" t="str">
        <f>IF(F79="","",IF(Setup!$B$5="No",F79+E79-1,WORKDAY.INTL(F79,E79-1,1,skip_days)))</f>
        <v/>
      </c>
      <c r="H79" s="60"/>
      <c r="I79" s="35"/>
      <c r="J79" s="35"/>
    </row>
    <row r="80" spans="1:10" x14ac:dyDescent="0.3">
      <c r="A80" s="32"/>
      <c r="E80" s="59" t="s">
        <v>188</v>
      </c>
      <c r="F80" s="35"/>
      <c r="G80" s="60" t="str">
        <f>IF(F80="","",IF(Setup!$B$5="No",F80+E80-1,WORKDAY.INTL(F80,E80-1,1,skip_days)))</f>
        <v/>
      </c>
      <c r="H80" s="60"/>
      <c r="I80" s="35"/>
      <c r="J80" s="35"/>
    </row>
    <row r="81" spans="1:10" x14ac:dyDescent="0.3">
      <c r="A81" s="32"/>
      <c r="E81" s="59" t="s">
        <v>188</v>
      </c>
      <c r="F81" s="35"/>
      <c r="G81" s="60" t="str">
        <f>IF(F81="","",IF(Setup!$B$5="No",F81+E81-1,WORKDAY.INTL(F81,E81-1,1,skip_days)))</f>
        <v/>
      </c>
      <c r="H81" s="60"/>
      <c r="I81" s="35"/>
      <c r="J81" s="35"/>
    </row>
    <row r="82" spans="1:10" x14ac:dyDescent="0.3">
      <c r="A82" s="32"/>
      <c r="E82" s="59" t="s">
        <v>188</v>
      </c>
      <c r="F82" s="35"/>
      <c r="G82" s="60" t="str">
        <f>IF(F82="","",IF(Setup!$B$5="No",F82+E82-1,WORKDAY.INTL(F82,E82-1,1,skip_days)))</f>
        <v/>
      </c>
      <c r="H82" s="60"/>
      <c r="I82" s="35"/>
      <c r="J82" s="35"/>
    </row>
    <row r="83" spans="1:10" x14ac:dyDescent="0.3">
      <c r="A83" s="32"/>
      <c r="E83" s="59" t="s">
        <v>188</v>
      </c>
      <c r="F83" s="35"/>
      <c r="G83" s="60" t="str">
        <f>IF(F83="","",IF(Setup!$B$5="No",F83+E83-1,WORKDAY.INTL(F83,E83-1,1,skip_days)))</f>
        <v/>
      </c>
      <c r="H83" s="60"/>
      <c r="I83" s="35"/>
      <c r="J83" s="35"/>
    </row>
    <row r="84" spans="1:10" x14ac:dyDescent="0.3">
      <c r="A84" s="32"/>
      <c r="E84" s="59" t="s">
        <v>188</v>
      </c>
      <c r="F84" s="35"/>
      <c r="G84" s="60" t="str">
        <f>IF(F84="","",IF(Setup!$B$5="No",F84+E84-1,WORKDAY.INTL(F84,E84-1,1,skip_days)))</f>
        <v/>
      </c>
      <c r="H84" s="60"/>
      <c r="I84" s="35"/>
      <c r="J84" s="35"/>
    </row>
    <row r="85" spans="1:10" x14ac:dyDescent="0.3">
      <c r="A85" s="32"/>
      <c r="E85" s="59" t="s">
        <v>188</v>
      </c>
      <c r="F85" s="35"/>
      <c r="G85" s="60" t="str">
        <f>IF(F85="","",IF(Setup!$B$5="No",F85+E85-1,WORKDAY.INTL(F85,E85-1,1,skip_days)))</f>
        <v/>
      </c>
      <c r="H85" s="60"/>
      <c r="I85" s="35"/>
      <c r="J85" s="35"/>
    </row>
    <row r="86" spans="1:10" x14ac:dyDescent="0.3">
      <c r="A86" s="32"/>
      <c r="E86" s="59" t="s">
        <v>188</v>
      </c>
      <c r="F86" s="35"/>
      <c r="G86" s="60" t="str">
        <f>IF(F86="","",IF(Setup!$B$5="No",F86+E86-1,WORKDAY.INTL(F86,E86-1,1,skip_days)))</f>
        <v/>
      </c>
      <c r="H86" s="60"/>
      <c r="I86" s="35"/>
      <c r="J86" s="35"/>
    </row>
    <row r="87" spans="1:10" x14ac:dyDescent="0.3">
      <c r="A87" s="32"/>
      <c r="E87" s="59" t="s">
        <v>188</v>
      </c>
      <c r="F87" s="35"/>
      <c r="G87" s="60" t="str">
        <f>IF(F87="","",IF(Setup!$B$5="No",F87+E87-1,WORKDAY.INTL(F87,E87-1,1,skip_days)))</f>
        <v/>
      </c>
      <c r="H87" s="60"/>
      <c r="I87" s="35"/>
      <c r="J87" s="35"/>
    </row>
    <row r="88" spans="1:10" x14ac:dyDescent="0.3">
      <c r="A88" s="32"/>
      <c r="E88" s="59" t="s">
        <v>188</v>
      </c>
      <c r="F88" s="35"/>
      <c r="G88" s="60" t="str">
        <f>IF(F88="","",IF(Setup!$B$5="No",F88+E88-1,WORKDAY.INTL(F88,E88-1,1,skip_days)))</f>
        <v/>
      </c>
      <c r="H88" s="60"/>
      <c r="I88" s="35"/>
      <c r="J88" s="35"/>
    </row>
    <row r="89" spans="1:10" x14ac:dyDescent="0.3">
      <c r="A89" s="32"/>
      <c r="E89" s="59" t="s">
        <v>188</v>
      </c>
      <c r="F89" s="35"/>
      <c r="G89" s="60" t="str">
        <f>IF(F89="","",IF(Setup!$B$5="No",F89+E89-1,WORKDAY.INTL(F89,E89-1,1,skip_days)))</f>
        <v/>
      </c>
      <c r="H89" s="60"/>
      <c r="I89" s="35"/>
      <c r="J89" s="35"/>
    </row>
    <row r="90" spans="1:10" x14ac:dyDescent="0.3">
      <c r="A90" s="32"/>
      <c r="E90" s="59" t="s">
        <v>188</v>
      </c>
      <c r="F90" s="35"/>
      <c r="G90" s="60" t="str">
        <f>IF(F90="","",IF(Setup!$B$5="No",F90+E90-1,WORKDAY.INTL(F90,E90-1,1,skip_days)))</f>
        <v/>
      </c>
      <c r="H90" s="60"/>
      <c r="I90" s="35"/>
      <c r="J90" s="35"/>
    </row>
    <row r="91" spans="1:10" x14ac:dyDescent="0.3">
      <c r="A91" s="32"/>
      <c r="E91" s="59" t="s">
        <v>188</v>
      </c>
      <c r="F91" s="35"/>
      <c r="G91" s="60" t="str">
        <f>IF(F91="","",IF(Setup!$B$5="No",F91+E91-1,WORKDAY.INTL(F91,E91-1,1,skip_days)))</f>
        <v/>
      </c>
      <c r="H91" s="60"/>
      <c r="I91" s="35"/>
      <c r="J91" s="35"/>
    </row>
    <row r="92" spans="1:10" x14ac:dyDescent="0.3">
      <c r="A92" s="32"/>
      <c r="E92" s="59" t="s">
        <v>188</v>
      </c>
      <c r="F92" s="35"/>
      <c r="G92" s="60" t="str">
        <f>IF(F92="","",IF(Setup!$B$5="No",F92+E92-1,WORKDAY.INTL(F92,E92-1,1,skip_days)))</f>
        <v/>
      </c>
      <c r="H92" s="60"/>
      <c r="I92" s="35"/>
      <c r="J92" s="35"/>
    </row>
    <row r="93" spans="1:10" x14ac:dyDescent="0.3">
      <c r="A93" s="32"/>
      <c r="E93" s="59" t="s">
        <v>188</v>
      </c>
      <c r="F93" s="35"/>
      <c r="G93" s="60" t="str">
        <f>IF(F93="","",IF(Setup!$B$5="No",F93+E93-1,WORKDAY.INTL(F93,E93-1,1,skip_days)))</f>
        <v/>
      </c>
      <c r="H93" s="60"/>
      <c r="I93" s="35"/>
      <c r="J93" s="35"/>
    </row>
    <row r="94" spans="1:10" x14ac:dyDescent="0.3">
      <c r="A94" s="32"/>
      <c r="E94" s="59" t="s">
        <v>188</v>
      </c>
      <c r="F94" s="35"/>
      <c r="G94" s="60" t="str">
        <f>IF(F94="","",IF(Setup!$B$5="No",F94+E94-1,WORKDAY.INTL(F94,E94-1,1,skip_days)))</f>
        <v/>
      </c>
      <c r="H94" s="60"/>
      <c r="I94" s="35"/>
      <c r="J94" s="35"/>
    </row>
    <row r="95" spans="1:10" x14ac:dyDescent="0.3">
      <c r="A95" s="32"/>
      <c r="E95" s="59" t="s">
        <v>188</v>
      </c>
      <c r="F95" s="35"/>
      <c r="G95" s="60" t="str">
        <f>IF(F95="","",IF(Setup!$B$5="No",F95+E95-1,WORKDAY.INTL(F95,E95-1,1,skip_days)))</f>
        <v/>
      </c>
      <c r="H95" s="60"/>
      <c r="I95" s="35"/>
      <c r="J95" s="35"/>
    </row>
    <row r="96" spans="1:10" x14ac:dyDescent="0.3">
      <c r="A96" s="32"/>
      <c r="E96" s="59" t="s">
        <v>188</v>
      </c>
      <c r="F96" s="35"/>
      <c r="G96" s="60" t="str">
        <f>IF(F96="","",IF(Setup!$B$5="No",F96+E96-1,WORKDAY.INTL(F96,E96-1,1,skip_days)))</f>
        <v/>
      </c>
      <c r="H96" s="60"/>
      <c r="I96" s="35"/>
      <c r="J96" s="35"/>
    </row>
    <row r="97" spans="1:10" x14ac:dyDescent="0.3">
      <c r="A97" s="32"/>
      <c r="E97" s="59" t="s">
        <v>188</v>
      </c>
      <c r="F97" s="35"/>
      <c r="G97" s="60" t="str">
        <f>IF(F97="","",IF(Setup!$B$5="No",F97+E97-1,WORKDAY.INTL(F97,E97-1,1,skip_days)))</f>
        <v/>
      </c>
      <c r="H97" s="60"/>
      <c r="I97" s="35"/>
      <c r="J97" s="35"/>
    </row>
    <row r="98" spans="1:10" x14ac:dyDescent="0.3">
      <c r="A98" s="32"/>
      <c r="E98" s="59" t="s">
        <v>188</v>
      </c>
      <c r="F98" s="35"/>
      <c r="G98" s="60" t="str">
        <f>IF(F98="","",IF(Setup!$B$5="No",F98+E98-1,WORKDAY.INTL(F98,E98-1,1,skip_days)))</f>
        <v/>
      </c>
      <c r="H98" s="60"/>
      <c r="I98" s="35"/>
      <c r="J98" s="35"/>
    </row>
    <row r="99" spans="1:10" x14ac:dyDescent="0.3">
      <c r="E99" s="59"/>
    </row>
  </sheetData>
  <sheetProtection algorithmName="SHA-512" hashValue="sRSRp44pjqsj88/P7M/aCFE4+F9JkAF9EYecTI6Z3uHRKkRjzTwxzbpalzUuPQvTwVqkLQFnpZwSnvZ5rRS09A==" saltValue="+J5xJW08hbTixJj/BcGWwg==" spinCount="100000" objects="1" scenarios="1" selectLockedCells="1"/>
  <mergeCells count="2">
    <mergeCell ref="D2:E2"/>
    <mergeCell ref="D1:E1"/>
  </mergeCells>
  <phoneticPr fontId="2" type="noConversion"/>
  <conditionalFormatting sqref="B4:B10000">
    <cfRule type="expression" dxfId="21" priority="27">
      <formula>IF($A4&lt;&gt;"",TRUE,)</formula>
    </cfRule>
    <cfRule type="expression" dxfId="20" priority="28">
      <formula>IF($A4="",TRUE,)</formula>
    </cfRule>
  </conditionalFormatting>
  <dataValidations count="6">
    <dataValidation type="list" allowBlank="1" showInputMessage="1" showErrorMessage="1" errorTitle="資料格式不正確" error="請輸入 2016~2030 之間的數值。" sqref="D1:E1" xr:uid="{00000000-0002-0000-0000-000002000000}">
      <formula1>"2016,2017,2018,2019,2020,2021,2022,2023,2024,2025,2026,2027,2028,2029,2030"</formula1>
    </dataValidation>
    <dataValidation type="list" allowBlank="1" showInputMessage="1" showErrorMessage="1" errorTitle="資料格式不正確" error="請輸入介於1~12的數值" sqref="D2:E2" xr:uid="{00000000-0002-0000-0000-000003000000}">
      <formula1>"1,2,3,4,5,6,7,8,9,10,11,12"</formula1>
    </dataValidation>
    <dataValidation type="list" allowBlank="1" showInputMessage="1" sqref="G1:J1" xr:uid="{00000000-0002-0000-0000-000004000000}">
      <formula1>"●,▼,★,■,◆"</formula1>
    </dataValidation>
    <dataValidation type="list" allowBlank="1" showInputMessage="1" sqref="G2:J2" xr:uid="{00000000-0002-0000-0000-000005000000}">
      <formula1>"-,&gt;,—"</formula1>
    </dataValidation>
    <dataValidation type="list" allowBlank="1" showInputMessage="1" showErrorMessage="1" sqref="C4:C98" xr:uid="{00000000-0002-0000-0000-000000000000}">
      <formula1>Team_Name</formula1>
    </dataValidation>
    <dataValidation type="list" allowBlank="1" showInputMessage="1" showErrorMessage="1" sqref="D4:D98" xr:uid="{00000000-0002-0000-0000-000001000000}">
      <formula1>Team_Members</formula1>
    </dataValidation>
  </dataValidations>
  <pageMargins left="0.19685039370078741" right="0.19685039370078741" top="0.39370078740157483" bottom="0.39370078740157483" header="0.31496062992125984" footer="0.31496062992125984"/>
  <pageSetup paperSize="9" scale="46" fitToWidth="6" fitToHeight="0" pageOrder="overThenDown" orientation="landscape" r:id="rId1"/>
  <headerFooter>
    <oddFooter>&amp;L&amp;"微軟正黑體,標準"&amp;8表單設計：©Kiwi LIFE - 雙胞胎拔拔&amp;R&amp;"微軟正黑體,標準"&amp;8第 &amp;P 頁，共 &amp;N 頁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rgb="FFFFC000"/>
  </sheetPr>
  <dimension ref="B1:V54"/>
  <sheetViews>
    <sheetView showGridLines="0" workbookViewId="0">
      <pane xSplit="2" ySplit="4" topLeftCell="C5" activePane="bottomRight" state="frozen"/>
      <selection activeCell="C7" sqref="C7:C10"/>
      <selection pane="topRight" activeCell="C7" sqref="C7:C10"/>
      <selection pane="bottomLeft" activeCell="C7" sqref="C7:C10"/>
      <selection pane="bottomRight" activeCell="C7" sqref="C7:C10"/>
    </sheetView>
  </sheetViews>
  <sheetFormatPr defaultColWidth="8.9140625" defaultRowHeight="15.6" x14ac:dyDescent="0.3"/>
  <cols>
    <col min="1" max="1" width="3.33203125" style="1" customWidth="1"/>
    <col min="2" max="2" width="15.6640625" style="4" customWidth="1"/>
    <col min="3" max="11" width="8.9140625" style="1"/>
    <col min="12" max="22" width="9.4140625" style="1" customWidth="1"/>
    <col min="23" max="16384" width="8.9140625" style="1"/>
  </cols>
  <sheetData>
    <row r="1" spans="2:22" x14ac:dyDescent="0.3">
      <c r="B1" s="30" t="str">
        <f>IF(Language="English",Setup!D33,Setup!E33)</f>
        <v>組別(單位)人員設定表</v>
      </c>
      <c r="D1" s="56"/>
      <c r="E1" s="70" t="str">
        <f>IF(Language="English",Setup!D65,Setup!E65)</f>
        <v>←延遲格式</v>
      </c>
      <c r="F1" s="55"/>
      <c r="G1" s="70" t="str">
        <f>IF(Language="English",Setup!D66,Setup!E66)</f>
        <v>←提前格式</v>
      </c>
    </row>
    <row r="2" spans="2:22" x14ac:dyDescent="0.3">
      <c r="B2" s="42" t="str">
        <f>IF(Language="English",Setup!D34,Setup!E34)</f>
        <v>※本表最多可支援20個組別(單位)，每個組別(單位)內共可設定50個人。</v>
      </c>
      <c r="K2" s="37" t="str">
        <f>IF(Language="English",Setup!D35,Setup!E35)</f>
        <v>↓當您在「第三列」色彩區塊，填入自己想要的顏色後，點選「一鍵快速變色」，就能變更甘特圖的所有對應顏色。</v>
      </c>
    </row>
    <row r="3" spans="2:22" x14ac:dyDescent="0.3">
      <c r="B3" s="7" t="str">
        <f>IF(Language="English",Setup!D37,Setup!E37)</f>
        <v>組別顏色</v>
      </c>
      <c r="C3" s="9"/>
      <c r="D3" s="10"/>
      <c r="E3" s="11"/>
      <c r="F3" s="12"/>
      <c r="G3" s="13"/>
      <c r="H3" s="14"/>
      <c r="I3" s="15"/>
      <c r="J3" s="16"/>
      <c r="K3" s="17"/>
      <c r="L3" s="18"/>
      <c r="M3" s="19"/>
      <c r="N3" s="20"/>
      <c r="O3" s="17"/>
      <c r="P3" s="21"/>
      <c r="Q3" s="22"/>
      <c r="R3" s="23"/>
      <c r="S3" s="24"/>
      <c r="T3" s="25"/>
      <c r="U3" s="26"/>
      <c r="V3" s="27"/>
    </row>
    <row r="4" spans="2:22" s="3" customFormat="1" ht="33.75" customHeight="1" x14ac:dyDescent="0.3">
      <c r="B4" s="6" t="str">
        <f>IF(Language="English","                    "&amp;Setup!D38,"　　　　  "&amp;Setup!E38)&amp;CHAR(10)&amp;IF(Language="English",Setup!D39,Setup!E39)</f>
        <v>　　　　  組別名稱
組別人員</v>
      </c>
      <c r="C4" s="28" t="s">
        <v>13</v>
      </c>
      <c r="D4" s="28" t="s">
        <v>194</v>
      </c>
      <c r="E4" s="28" t="s">
        <v>195</v>
      </c>
      <c r="F4" s="28" t="s">
        <v>215</v>
      </c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</row>
    <row r="5" spans="2:22" ht="16.5" customHeight="1" x14ac:dyDescent="0.3">
      <c r="B5" s="5">
        <v>1</v>
      </c>
      <c r="C5" s="29" t="s">
        <v>193</v>
      </c>
      <c r="D5" s="29" t="s">
        <v>196</v>
      </c>
      <c r="E5" s="29" t="s">
        <v>197</v>
      </c>
      <c r="F5" s="29" t="s">
        <v>217</v>
      </c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</row>
    <row r="6" spans="2:22" ht="16.5" customHeight="1" x14ac:dyDescent="0.3">
      <c r="B6" s="5">
        <v>2</v>
      </c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</row>
    <row r="7" spans="2:22" ht="16.5" customHeight="1" x14ac:dyDescent="0.3">
      <c r="B7" s="5">
        <v>3</v>
      </c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</row>
    <row r="8" spans="2:22" ht="16.5" customHeight="1" x14ac:dyDescent="0.3">
      <c r="B8" s="5">
        <v>4</v>
      </c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</row>
    <row r="9" spans="2:22" ht="16.5" customHeight="1" x14ac:dyDescent="0.3">
      <c r="B9" s="5">
        <v>5</v>
      </c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</row>
    <row r="10" spans="2:22" ht="16.5" customHeight="1" x14ac:dyDescent="0.3">
      <c r="B10" s="5">
        <v>6</v>
      </c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</row>
    <row r="11" spans="2:22" ht="16.5" customHeight="1" x14ac:dyDescent="0.3">
      <c r="B11" s="5">
        <v>7</v>
      </c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</row>
    <row r="12" spans="2:22" ht="16.5" customHeight="1" x14ac:dyDescent="0.3">
      <c r="B12" s="5">
        <v>8</v>
      </c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</row>
    <row r="13" spans="2:22" ht="16.5" customHeight="1" x14ac:dyDescent="0.3">
      <c r="B13" s="5">
        <v>9</v>
      </c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</row>
    <row r="14" spans="2:22" ht="16.5" customHeight="1" x14ac:dyDescent="0.3">
      <c r="B14" s="5">
        <v>10</v>
      </c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</row>
    <row r="15" spans="2:22" ht="16.5" customHeight="1" x14ac:dyDescent="0.3">
      <c r="B15" s="5">
        <v>11</v>
      </c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</row>
    <row r="16" spans="2:22" ht="16.5" customHeight="1" x14ac:dyDescent="0.3">
      <c r="B16" s="5">
        <v>12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</row>
    <row r="17" spans="2:22" ht="16.5" customHeight="1" x14ac:dyDescent="0.3">
      <c r="B17" s="5">
        <v>13</v>
      </c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</row>
    <row r="18" spans="2:22" ht="16.5" customHeight="1" x14ac:dyDescent="0.3">
      <c r="B18" s="5">
        <v>14</v>
      </c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</row>
    <row r="19" spans="2:22" ht="16.5" customHeight="1" x14ac:dyDescent="0.3">
      <c r="B19" s="5">
        <v>15</v>
      </c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</row>
    <row r="20" spans="2:22" ht="16.5" customHeight="1" x14ac:dyDescent="0.3">
      <c r="B20" s="5">
        <v>16</v>
      </c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</row>
    <row r="21" spans="2:22" ht="16.5" customHeight="1" x14ac:dyDescent="0.3">
      <c r="B21" s="5">
        <v>17</v>
      </c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</row>
    <row r="22" spans="2:22" ht="16.5" customHeight="1" x14ac:dyDescent="0.3">
      <c r="B22" s="5">
        <v>18</v>
      </c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</row>
    <row r="23" spans="2:22" ht="16.5" customHeight="1" x14ac:dyDescent="0.3">
      <c r="B23" s="5">
        <v>19</v>
      </c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</row>
    <row r="24" spans="2:22" ht="16.5" customHeight="1" x14ac:dyDescent="0.3">
      <c r="B24" s="5">
        <v>20</v>
      </c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</row>
    <row r="25" spans="2:22" x14ac:dyDescent="0.3">
      <c r="B25" s="5">
        <v>21</v>
      </c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</row>
    <row r="26" spans="2:22" x14ac:dyDescent="0.3">
      <c r="B26" s="5">
        <v>22</v>
      </c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</row>
    <row r="27" spans="2:22" x14ac:dyDescent="0.3">
      <c r="B27" s="5">
        <v>23</v>
      </c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</row>
    <row r="28" spans="2:22" x14ac:dyDescent="0.3">
      <c r="B28" s="5">
        <v>24</v>
      </c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</row>
    <row r="29" spans="2:22" x14ac:dyDescent="0.3">
      <c r="B29" s="5">
        <v>25</v>
      </c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</row>
    <row r="30" spans="2:22" x14ac:dyDescent="0.3">
      <c r="B30" s="5">
        <v>26</v>
      </c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</row>
    <row r="31" spans="2:22" x14ac:dyDescent="0.3">
      <c r="B31" s="5">
        <v>27</v>
      </c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</row>
    <row r="32" spans="2:22" x14ac:dyDescent="0.3">
      <c r="B32" s="5">
        <v>28</v>
      </c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</row>
    <row r="33" spans="2:22" x14ac:dyDescent="0.3">
      <c r="B33" s="5">
        <v>29</v>
      </c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</row>
    <row r="34" spans="2:22" x14ac:dyDescent="0.3">
      <c r="B34" s="5">
        <v>30</v>
      </c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</row>
    <row r="35" spans="2:22" x14ac:dyDescent="0.3">
      <c r="B35" s="5">
        <v>31</v>
      </c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</row>
    <row r="36" spans="2:22" x14ac:dyDescent="0.3">
      <c r="B36" s="5">
        <v>32</v>
      </c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</row>
    <row r="37" spans="2:22" x14ac:dyDescent="0.3">
      <c r="B37" s="5">
        <v>33</v>
      </c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</row>
    <row r="38" spans="2:22" x14ac:dyDescent="0.3">
      <c r="B38" s="5">
        <v>34</v>
      </c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</row>
    <row r="39" spans="2:22" x14ac:dyDescent="0.3">
      <c r="B39" s="5">
        <v>35</v>
      </c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</row>
    <row r="40" spans="2:22" x14ac:dyDescent="0.3">
      <c r="B40" s="5">
        <v>36</v>
      </c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</row>
    <row r="41" spans="2:22" x14ac:dyDescent="0.3">
      <c r="B41" s="5">
        <v>37</v>
      </c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</row>
    <row r="42" spans="2:22" x14ac:dyDescent="0.3">
      <c r="B42" s="5">
        <v>38</v>
      </c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</row>
    <row r="43" spans="2:22" x14ac:dyDescent="0.3">
      <c r="B43" s="5">
        <v>39</v>
      </c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</row>
    <row r="44" spans="2:22" x14ac:dyDescent="0.3">
      <c r="B44" s="5">
        <v>40</v>
      </c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</row>
    <row r="45" spans="2:22" x14ac:dyDescent="0.3">
      <c r="B45" s="5">
        <v>41</v>
      </c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</row>
    <row r="46" spans="2:22" x14ac:dyDescent="0.3">
      <c r="B46" s="5">
        <v>42</v>
      </c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</row>
    <row r="47" spans="2:22" x14ac:dyDescent="0.3">
      <c r="B47" s="5">
        <v>43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</row>
    <row r="48" spans="2:22" x14ac:dyDescent="0.3">
      <c r="B48" s="5">
        <v>44</v>
      </c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</row>
    <row r="49" spans="2:22" x14ac:dyDescent="0.3">
      <c r="B49" s="5">
        <v>45</v>
      </c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</row>
    <row r="50" spans="2:22" x14ac:dyDescent="0.3">
      <c r="B50" s="5">
        <v>46</v>
      </c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</row>
    <row r="51" spans="2:22" x14ac:dyDescent="0.3">
      <c r="B51" s="5">
        <v>47</v>
      </c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</row>
    <row r="52" spans="2:22" x14ac:dyDescent="0.3">
      <c r="B52" s="5">
        <v>48</v>
      </c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</row>
    <row r="53" spans="2:22" x14ac:dyDescent="0.3">
      <c r="B53" s="5">
        <v>49</v>
      </c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</row>
    <row r="54" spans="2:22" x14ac:dyDescent="0.3">
      <c r="B54" s="5">
        <v>50</v>
      </c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</row>
  </sheetData>
  <phoneticPr fontId="2" type="noConversion"/>
  <conditionalFormatting sqref="V4">
    <cfRule type="cellIs" dxfId="19" priority="20" operator="notEqual">
      <formula>""</formula>
    </cfRule>
  </conditionalFormatting>
  <conditionalFormatting sqref="U4">
    <cfRule type="cellIs" dxfId="18" priority="19" operator="notEqual">
      <formula>""</formula>
    </cfRule>
  </conditionalFormatting>
  <conditionalFormatting sqref="T4">
    <cfRule type="cellIs" dxfId="17" priority="18" operator="notEqual">
      <formula>""</formula>
    </cfRule>
  </conditionalFormatting>
  <conditionalFormatting sqref="S4">
    <cfRule type="cellIs" dxfId="16" priority="17" operator="notEqual">
      <formula>""</formula>
    </cfRule>
  </conditionalFormatting>
  <conditionalFormatting sqref="R4">
    <cfRule type="cellIs" dxfId="15" priority="16" operator="notEqual">
      <formula>""</formula>
    </cfRule>
  </conditionalFormatting>
  <conditionalFormatting sqref="Q4">
    <cfRule type="cellIs" dxfId="14" priority="15" operator="notEqual">
      <formula>""</formula>
    </cfRule>
  </conditionalFormatting>
  <conditionalFormatting sqref="P4">
    <cfRule type="cellIs" dxfId="13" priority="14" operator="notEqual">
      <formula>""</formula>
    </cfRule>
  </conditionalFormatting>
  <conditionalFormatting sqref="O4">
    <cfRule type="cellIs" dxfId="12" priority="13" operator="notEqual">
      <formula>""</formula>
    </cfRule>
  </conditionalFormatting>
  <conditionalFormatting sqref="N4">
    <cfRule type="cellIs" dxfId="11" priority="12" operator="notEqual">
      <formula>""</formula>
    </cfRule>
  </conditionalFormatting>
  <conditionalFormatting sqref="M4">
    <cfRule type="cellIs" dxfId="10" priority="11" operator="notEqual">
      <formula>""</formula>
    </cfRule>
  </conditionalFormatting>
  <conditionalFormatting sqref="L4">
    <cfRule type="cellIs" dxfId="9" priority="10" operator="notEqual">
      <formula>""</formula>
    </cfRule>
  </conditionalFormatting>
  <conditionalFormatting sqref="K4">
    <cfRule type="cellIs" dxfId="8" priority="9" operator="notEqual">
      <formula>""</formula>
    </cfRule>
  </conditionalFormatting>
  <conditionalFormatting sqref="J4">
    <cfRule type="cellIs" dxfId="7" priority="8" operator="notEqual">
      <formula>""</formula>
    </cfRule>
  </conditionalFormatting>
  <conditionalFormatting sqref="I4">
    <cfRule type="cellIs" dxfId="6" priority="7" operator="notEqual">
      <formula>""</formula>
    </cfRule>
  </conditionalFormatting>
  <conditionalFormatting sqref="H4">
    <cfRule type="cellIs" dxfId="5" priority="6" operator="notEqual">
      <formula>""</formula>
    </cfRule>
  </conditionalFormatting>
  <conditionalFormatting sqref="G4">
    <cfRule type="cellIs" dxfId="4" priority="5" operator="notEqual">
      <formula>""</formula>
    </cfRule>
  </conditionalFormatting>
  <conditionalFormatting sqref="F4">
    <cfRule type="cellIs" dxfId="3" priority="4" operator="notEqual">
      <formula>""</formula>
    </cfRule>
  </conditionalFormatting>
  <conditionalFormatting sqref="E4">
    <cfRule type="cellIs" dxfId="2" priority="3" operator="notEqual">
      <formula>""</formula>
    </cfRule>
  </conditionalFormatting>
  <conditionalFormatting sqref="D4">
    <cfRule type="cellIs" dxfId="1" priority="2" operator="notEqual">
      <formula>""</formula>
    </cfRule>
  </conditionalFormatting>
  <conditionalFormatting sqref="C4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Change Color">
              <controlPr defaultSize="0" print="0" autoFill="0" autoPict="0" macro="[0]!ChangeColor">
                <anchor moveWithCells="1" sizeWithCells="1">
                  <from>
                    <xdr:col>8</xdr:col>
                    <xdr:colOff>7620</xdr:colOff>
                    <xdr:row>0</xdr:row>
                    <xdr:rowOff>30480</xdr:rowOff>
                  </from>
                  <to>
                    <xdr:col>9</xdr:col>
                    <xdr:colOff>754380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4">
    <tabColor rgb="FFFFC000"/>
  </sheetPr>
  <dimension ref="B1:G48"/>
  <sheetViews>
    <sheetView showGridLines="0" workbookViewId="0">
      <pane xSplit="5" ySplit="4" topLeftCell="F5" activePane="bottomRight" state="frozen"/>
      <selection activeCell="C7" sqref="C7:C10"/>
      <selection pane="topRight" activeCell="C7" sqref="C7:C10"/>
      <selection pane="bottomLeft" activeCell="C7" sqref="C7:C10"/>
      <selection pane="bottomRight" activeCell="C7" sqref="C7:C10"/>
    </sheetView>
  </sheetViews>
  <sheetFormatPr defaultColWidth="8.9140625" defaultRowHeight="15.6" x14ac:dyDescent="0.3"/>
  <cols>
    <col min="1" max="1" width="2.75" style="1" customWidth="1"/>
    <col min="2" max="2" width="10.75" style="49" customWidth="1"/>
    <col min="3" max="3" width="25.75" style="2" customWidth="1"/>
    <col min="4" max="4" width="10.75" style="50" customWidth="1"/>
    <col min="5" max="5" width="25.75" style="2" customWidth="1"/>
    <col min="6" max="16384" width="8.9140625" style="1"/>
  </cols>
  <sheetData>
    <row r="1" spans="2:7" x14ac:dyDescent="0.3">
      <c r="B1" s="46" t="str">
        <f>IF(Language="English",Setup!D40,Setup!E40)</f>
        <v>例假日與補班設定表</v>
      </c>
    </row>
    <row r="2" spans="2:7" x14ac:dyDescent="0.3">
      <c r="B2" s="47" t="str">
        <f>IF(Language="English",Setup!D41,Setup!E41)</f>
        <v>※請直接填入正確例假日或補上班的「年/月/日」即可，若日期不在專案時程內的項目，可自行修改或刪除唷。</v>
      </c>
    </row>
    <row r="3" spans="2:7" x14ac:dyDescent="0.3">
      <c r="B3" s="80" t="str">
        <f>IF(Language="English",Setup!D42,Setup!E42)</f>
        <v>例假日</v>
      </c>
      <c r="C3" s="80"/>
      <c r="D3" s="80" t="str">
        <f>IF(Language="English",Setup!D43,Setup!E43)</f>
        <v>補上班</v>
      </c>
      <c r="E3" s="80"/>
    </row>
    <row r="4" spans="2:7" x14ac:dyDescent="0.3">
      <c r="B4" s="48" t="str">
        <f>IF(Language="English",Setup!D44,Setup!E44)</f>
        <v>年/月/日</v>
      </c>
      <c r="C4" s="8" t="str">
        <f>IF(Language="English",Setup!D45,Setup!E45)</f>
        <v>假別名稱</v>
      </c>
      <c r="D4" s="48" t="str">
        <f>IF(Language="English",Setup!D44,Setup!E44)</f>
        <v>年/月/日</v>
      </c>
      <c r="E4" s="8" t="str">
        <f>IF(Language="English",Setup!D46,Setup!E46)</f>
        <v>補班原因</v>
      </c>
    </row>
    <row r="5" spans="2:7" x14ac:dyDescent="0.3">
      <c r="B5" s="72">
        <v>45047</v>
      </c>
      <c r="C5" s="73" t="s">
        <v>199</v>
      </c>
      <c r="D5" s="74">
        <v>45010</v>
      </c>
      <c r="E5" s="75" t="s">
        <v>198</v>
      </c>
      <c r="G5" s="54"/>
    </row>
    <row r="6" spans="2:7" x14ac:dyDescent="0.3">
      <c r="B6" s="72">
        <v>45017</v>
      </c>
      <c r="C6" s="73" t="s">
        <v>223</v>
      </c>
      <c r="D6" s="74"/>
      <c r="E6" s="75"/>
    </row>
    <row r="7" spans="2:7" x14ac:dyDescent="0.3">
      <c r="B7" s="72">
        <v>45018</v>
      </c>
      <c r="C7" s="73" t="s">
        <v>223</v>
      </c>
      <c r="D7" s="74"/>
      <c r="E7" s="75"/>
    </row>
    <row r="8" spans="2:7" x14ac:dyDescent="0.3">
      <c r="B8" s="72">
        <v>45019</v>
      </c>
      <c r="C8" s="73" t="s">
        <v>223</v>
      </c>
      <c r="D8" s="74"/>
      <c r="E8" s="75"/>
    </row>
    <row r="9" spans="2:7" x14ac:dyDescent="0.3">
      <c r="B9" s="72">
        <v>45020</v>
      </c>
      <c r="C9" s="73" t="s">
        <v>223</v>
      </c>
      <c r="D9" s="74"/>
      <c r="E9" s="75"/>
    </row>
    <row r="10" spans="2:7" x14ac:dyDescent="0.3">
      <c r="B10" s="72">
        <v>45021</v>
      </c>
      <c r="C10" s="73" t="s">
        <v>223</v>
      </c>
      <c r="D10" s="74"/>
      <c r="E10" s="75"/>
    </row>
    <row r="11" spans="2:7" x14ac:dyDescent="0.3">
      <c r="B11" s="72"/>
      <c r="C11" s="73"/>
      <c r="D11" s="74"/>
      <c r="E11" s="75"/>
    </row>
    <row r="12" spans="2:7" x14ac:dyDescent="0.3">
      <c r="B12" s="72"/>
      <c r="C12" s="73"/>
      <c r="D12" s="74"/>
      <c r="E12" s="75"/>
    </row>
    <row r="13" spans="2:7" x14ac:dyDescent="0.3">
      <c r="B13" s="72"/>
      <c r="C13" s="73"/>
      <c r="D13" s="74"/>
      <c r="E13" s="75"/>
    </row>
    <row r="14" spans="2:7" x14ac:dyDescent="0.3">
      <c r="B14" s="72"/>
      <c r="C14" s="73"/>
      <c r="D14" s="74"/>
      <c r="E14" s="75"/>
    </row>
    <row r="15" spans="2:7" x14ac:dyDescent="0.3">
      <c r="B15" s="72"/>
      <c r="C15" s="73"/>
      <c r="D15" s="74"/>
      <c r="E15" s="75"/>
    </row>
    <row r="16" spans="2:7" x14ac:dyDescent="0.3">
      <c r="B16" s="72"/>
      <c r="C16" s="73"/>
      <c r="D16" s="74"/>
      <c r="E16" s="75"/>
    </row>
    <row r="17" spans="2:5" x14ac:dyDescent="0.3">
      <c r="B17" s="72"/>
      <c r="C17" s="73"/>
      <c r="D17" s="74"/>
      <c r="E17" s="75"/>
    </row>
    <row r="18" spans="2:5" x14ac:dyDescent="0.3">
      <c r="B18" s="72"/>
      <c r="C18" s="73"/>
      <c r="D18" s="74"/>
      <c r="E18" s="75"/>
    </row>
    <row r="19" spans="2:5" x14ac:dyDescent="0.3">
      <c r="B19" s="72"/>
      <c r="C19" s="73"/>
      <c r="D19" s="74"/>
      <c r="E19" s="75"/>
    </row>
    <row r="20" spans="2:5" x14ac:dyDescent="0.3">
      <c r="B20" s="72"/>
      <c r="C20" s="73"/>
      <c r="D20" s="74"/>
      <c r="E20" s="75"/>
    </row>
    <row r="21" spans="2:5" x14ac:dyDescent="0.3">
      <c r="B21" s="72"/>
      <c r="C21" s="73"/>
      <c r="D21" s="74"/>
      <c r="E21" s="75"/>
    </row>
    <row r="22" spans="2:5" x14ac:dyDescent="0.3">
      <c r="B22" s="72"/>
      <c r="C22" s="73"/>
      <c r="D22" s="74"/>
      <c r="E22" s="75"/>
    </row>
    <row r="23" spans="2:5" x14ac:dyDescent="0.3">
      <c r="B23" s="72"/>
      <c r="C23" s="73"/>
      <c r="D23" s="74"/>
      <c r="E23" s="75"/>
    </row>
    <row r="24" spans="2:5" x14ac:dyDescent="0.3">
      <c r="B24" s="72"/>
      <c r="C24" s="73"/>
      <c r="D24" s="74"/>
      <c r="E24" s="75"/>
    </row>
    <row r="25" spans="2:5" x14ac:dyDescent="0.3">
      <c r="B25" s="72"/>
      <c r="C25" s="73"/>
      <c r="D25" s="74"/>
      <c r="E25" s="75"/>
    </row>
    <row r="26" spans="2:5" x14ac:dyDescent="0.3">
      <c r="B26" s="72"/>
      <c r="C26" s="73"/>
      <c r="D26" s="74"/>
      <c r="E26" s="75"/>
    </row>
    <row r="27" spans="2:5" x14ac:dyDescent="0.3">
      <c r="B27" s="72"/>
      <c r="C27" s="73"/>
      <c r="D27" s="74"/>
      <c r="E27" s="75"/>
    </row>
    <row r="28" spans="2:5" x14ac:dyDescent="0.3">
      <c r="B28" s="72"/>
      <c r="C28" s="73"/>
      <c r="D28" s="74"/>
      <c r="E28" s="75"/>
    </row>
    <row r="29" spans="2:5" x14ac:dyDescent="0.3">
      <c r="B29" s="72"/>
      <c r="C29" s="73"/>
      <c r="D29" s="74"/>
      <c r="E29" s="75"/>
    </row>
    <row r="30" spans="2:5" x14ac:dyDescent="0.3">
      <c r="B30" s="72"/>
      <c r="C30" s="73"/>
      <c r="D30" s="74"/>
      <c r="E30" s="75"/>
    </row>
    <row r="31" spans="2:5" x14ac:dyDescent="0.3">
      <c r="B31" s="72"/>
      <c r="C31" s="73"/>
      <c r="D31" s="74"/>
      <c r="E31" s="75"/>
    </row>
    <row r="32" spans="2:5" x14ac:dyDescent="0.3">
      <c r="B32" s="72"/>
      <c r="C32" s="73"/>
      <c r="D32" s="74"/>
      <c r="E32" s="75"/>
    </row>
    <row r="33" spans="2:5" x14ac:dyDescent="0.3">
      <c r="B33" s="72"/>
      <c r="C33" s="73"/>
      <c r="D33" s="74"/>
      <c r="E33" s="75"/>
    </row>
    <row r="34" spans="2:5" x14ac:dyDescent="0.3">
      <c r="B34" s="72"/>
      <c r="C34" s="73"/>
      <c r="D34" s="74"/>
      <c r="E34" s="75"/>
    </row>
    <row r="35" spans="2:5" x14ac:dyDescent="0.3">
      <c r="B35" s="72"/>
      <c r="C35" s="73"/>
      <c r="D35" s="74"/>
      <c r="E35" s="75"/>
    </row>
    <row r="36" spans="2:5" x14ac:dyDescent="0.3">
      <c r="B36" s="72"/>
      <c r="C36" s="73"/>
      <c r="D36" s="74"/>
      <c r="E36" s="75"/>
    </row>
    <row r="37" spans="2:5" x14ac:dyDescent="0.3">
      <c r="B37" s="72"/>
      <c r="C37" s="73"/>
      <c r="D37" s="74"/>
      <c r="E37" s="75"/>
    </row>
    <row r="38" spans="2:5" x14ac:dyDescent="0.3">
      <c r="B38" s="72"/>
      <c r="C38" s="73"/>
      <c r="D38" s="74"/>
      <c r="E38" s="75"/>
    </row>
    <row r="39" spans="2:5" x14ac:dyDescent="0.3">
      <c r="B39" s="72"/>
      <c r="C39" s="73"/>
      <c r="D39" s="74"/>
      <c r="E39" s="75"/>
    </row>
    <row r="40" spans="2:5" x14ac:dyDescent="0.3">
      <c r="B40" s="72"/>
      <c r="C40" s="73"/>
      <c r="D40" s="74"/>
      <c r="E40" s="75"/>
    </row>
    <row r="41" spans="2:5" x14ac:dyDescent="0.3">
      <c r="B41" s="72"/>
      <c r="C41" s="73"/>
      <c r="D41" s="74"/>
      <c r="E41" s="75"/>
    </row>
    <row r="42" spans="2:5" x14ac:dyDescent="0.3">
      <c r="B42" s="72"/>
      <c r="C42" s="73"/>
      <c r="D42" s="74"/>
      <c r="E42" s="75"/>
    </row>
    <row r="43" spans="2:5" x14ac:dyDescent="0.3">
      <c r="B43" s="72"/>
      <c r="C43" s="73"/>
      <c r="D43" s="74"/>
      <c r="E43" s="75"/>
    </row>
    <row r="44" spans="2:5" x14ac:dyDescent="0.3">
      <c r="B44" s="72"/>
      <c r="C44" s="73"/>
      <c r="D44" s="74"/>
      <c r="E44" s="75"/>
    </row>
    <row r="45" spans="2:5" x14ac:dyDescent="0.3">
      <c r="B45" s="72"/>
      <c r="C45" s="73"/>
      <c r="D45" s="74"/>
      <c r="E45" s="75"/>
    </row>
    <row r="46" spans="2:5" x14ac:dyDescent="0.3">
      <c r="B46" s="72"/>
      <c r="C46" s="73"/>
      <c r="D46" s="74"/>
      <c r="E46" s="75"/>
    </row>
    <row r="47" spans="2:5" x14ac:dyDescent="0.3">
      <c r="B47" s="72"/>
      <c r="C47" s="73"/>
      <c r="D47" s="74"/>
      <c r="E47" s="75"/>
    </row>
    <row r="48" spans="2:5" x14ac:dyDescent="0.3">
      <c r="B48" s="72"/>
      <c r="C48" s="73"/>
      <c r="D48" s="74"/>
      <c r="E48" s="75"/>
    </row>
  </sheetData>
  <mergeCells count="2">
    <mergeCell ref="B3:C3"/>
    <mergeCell ref="D3:E3"/>
  </mergeCells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5">
    <tabColor rgb="FFFFC000"/>
  </sheetPr>
  <dimension ref="A1:E67"/>
  <sheetViews>
    <sheetView showGridLine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4" sqref="B4"/>
    </sheetView>
  </sheetViews>
  <sheetFormatPr defaultColWidth="8.9140625" defaultRowHeight="15.6" x14ac:dyDescent="0.3"/>
  <cols>
    <col min="1" max="2" width="15.75" style="1" customWidth="1"/>
    <col min="3" max="3" width="24" style="1" customWidth="1"/>
    <col min="4" max="5" width="43.75" style="1" customWidth="1"/>
    <col min="6" max="16384" width="8.9140625" style="1"/>
  </cols>
  <sheetData>
    <row r="1" spans="1:5" x14ac:dyDescent="0.3">
      <c r="A1" s="83" t="str">
        <f>IF(Language="English",Setup!D47,Setup!E47)</f>
        <v>Excel 計畫時程管理表 - 功能設定表</v>
      </c>
      <c r="B1" s="83"/>
      <c r="C1" s="84" t="str">
        <f>IF(Language="English",Setup!D61,Setup!E61)</f>
        <v>會議模式解鎖密碼</v>
      </c>
      <c r="D1" s="84"/>
      <c r="E1" s="53">
        <v>1234</v>
      </c>
    </row>
    <row r="2" spans="1:5" x14ac:dyDescent="0.3">
      <c r="A2" s="81" t="str">
        <f>IF(Language="English",Setup!D48,Setup!E48)</f>
        <v>一般設定</v>
      </c>
      <c r="B2" s="81"/>
      <c r="C2" s="82" t="str">
        <f>IF(Language="English",Setup!D49,Setup!E49)</f>
        <v>多國語言文字設定</v>
      </c>
      <c r="D2" s="82"/>
      <c r="E2" s="82"/>
    </row>
    <row r="3" spans="1:5" x14ac:dyDescent="0.3">
      <c r="A3" s="40" t="str">
        <f>IF(Language="English",Setup!D50,Setup!E50)</f>
        <v>版本</v>
      </c>
      <c r="B3" s="43" t="s">
        <v>191</v>
      </c>
      <c r="C3" s="61" t="s">
        <v>97</v>
      </c>
      <c r="D3" s="61" t="s">
        <v>21</v>
      </c>
      <c r="E3" s="61" t="s">
        <v>22</v>
      </c>
    </row>
    <row r="4" spans="1:5" x14ac:dyDescent="0.3">
      <c r="A4" s="40" t="str">
        <f>IF(Language="English",Setup!D51,Setup!E51)</f>
        <v>語言設定</v>
      </c>
      <c r="B4" s="51" t="s">
        <v>139</v>
      </c>
      <c r="C4" s="62" t="s">
        <v>88</v>
      </c>
      <c r="D4" s="63" t="s">
        <v>84</v>
      </c>
      <c r="E4" s="63" t="s">
        <v>14</v>
      </c>
    </row>
    <row r="5" spans="1:5" x14ac:dyDescent="0.3">
      <c r="A5" s="40" t="str">
        <f>IF(Language="English",Setup!D52,Setup!E52)</f>
        <v>工作日設定</v>
      </c>
      <c r="B5" s="51" t="s">
        <v>187</v>
      </c>
      <c r="C5" s="62" t="s">
        <v>89</v>
      </c>
      <c r="D5" s="63" t="s">
        <v>85</v>
      </c>
      <c r="E5" s="63" t="s">
        <v>18</v>
      </c>
    </row>
    <row r="6" spans="1:5" ht="28.8" x14ac:dyDescent="0.3">
      <c r="A6" s="40" t="str">
        <f>IF(Language="English",Setup!D67,Setup!E67)</f>
        <v>甘特圖判定模式</v>
      </c>
      <c r="B6" s="71">
        <v>1</v>
      </c>
      <c r="C6" s="62" t="s">
        <v>82</v>
      </c>
      <c r="D6" s="63" t="str">
        <f>"Gantt Chart Excel Template " &amp; B3 &amp; " (Support Excel 2010 and above)"</f>
        <v>Gantt Chart Excel Template v3.6 (Support Excel 2010 and above)</v>
      </c>
      <c r="E6" s="63" t="str">
        <f>"Excel 計畫時程管理表" &amp;B3 &amp; "(支援Excel 2010以上)"</f>
        <v>Excel 計畫時程管理表v3.6(支援Excel 2010以上)</v>
      </c>
    </row>
    <row r="7" spans="1:5" x14ac:dyDescent="0.3">
      <c r="A7" s="44"/>
      <c r="B7" s="44"/>
      <c r="C7" s="62" t="s">
        <v>83</v>
      </c>
      <c r="D7" s="63" t="s">
        <v>86</v>
      </c>
      <c r="E7" s="63" t="s">
        <v>11</v>
      </c>
    </row>
    <row r="8" spans="1:5" x14ac:dyDescent="0.3">
      <c r="A8" s="52"/>
      <c r="B8" s="52"/>
      <c r="C8" s="64" t="s">
        <v>50</v>
      </c>
      <c r="D8" s="65" t="s">
        <v>51</v>
      </c>
      <c r="E8" s="65" t="s">
        <v>52</v>
      </c>
    </row>
    <row r="9" spans="1:5" x14ac:dyDescent="0.3">
      <c r="A9" s="52"/>
      <c r="B9" s="52"/>
      <c r="C9" s="64" t="s">
        <v>74</v>
      </c>
      <c r="D9" s="65" t="s">
        <v>77</v>
      </c>
      <c r="E9" s="65" t="s">
        <v>23</v>
      </c>
    </row>
    <row r="10" spans="1:5" x14ac:dyDescent="0.3">
      <c r="A10" s="52"/>
      <c r="B10" s="52"/>
      <c r="C10" s="64" t="s">
        <v>75</v>
      </c>
      <c r="D10" s="65" t="s">
        <v>78</v>
      </c>
      <c r="E10" s="65" t="s">
        <v>81</v>
      </c>
    </row>
    <row r="11" spans="1:5" x14ac:dyDescent="0.3">
      <c r="A11" s="45"/>
      <c r="B11" s="45"/>
      <c r="C11" s="64" t="s">
        <v>76</v>
      </c>
      <c r="D11" s="65" t="s">
        <v>79</v>
      </c>
      <c r="E11" s="65" t="s">
        <v>80</v>
      </c>
    </row>
    <row r="12" spans="1:5" x14ac:dyDescent="0.3">
      <c r="A12" s="45"/>
      <c r="B12" s="45"/>
      <c r="C12" s="64" t="s">
        <v>24</v>
      </c>
      <c r="D12" s="65" t="s">
        <v>25</v>
      </c>
      <c r="E12" s="65" t="s">
        <v>10</v>
      </c>
    </row>
    <row r="13" spans="1:5" x14ac:dyDescent="0.3">
      <c r="A13" s="45"/>
      <c r="B13" s="45"/>
      <c r="C13" s="64" t="s">
        <v>28</v>
      </c>
      <c r="D13" s="65" t="s">
        <v>26</v>
      </c>
      <c r="E13" s="65" t="s">
        <v>27</v>
      </c>
    </row>
    <row r="14" spans="1:5" x14ac:dyDescent="0.3">
      <c r="A14" s="45"/>
      <c r="B14" s="45"/>
      <c r="C14" s="64" t="s">
        <v>29</v>
      </c>
      <c r="D14" s="65" t="s">
        <v>31</v>
      </c>
      <c r="E14" s="65" t="s">
        <v>16</v>
      </c>
    </row>
    <row r="15" spans="1:5" x14ac:dyDescent="0.3">
      <c r="C15" s="64" t="s">
        <v>30</v>
      </c>
      <c r="D15" s="65" t="s">
        <v>32</v>
      </c>
      <c r="E15" s="65" t="s">
        <v>17</v>
      </c>
    </row>
    <row r="16" spans="1:5" x14ac:dyDescent="0.3">
      <c r="C16" s="64" t="s">
        <v>36</v>
      </c>
      <c r="D16" s="65" t="s">
        <v>175</v>
      </c>
      <c r="E16" s="65" t="s">
        <v>33</v>
      </c>
    </row>
    <row r="17" spans="3:5" x14ac:dyDescent="0.3">
      <c r="C17" s="64" t="s">
        <v>37</v>
      </c>
      <c r="D17" s="65" t="s">
        <v>35</v>
      </c>
      <c r="E17" s="65" t="s">
        <v>34</v>
      </c>
    </row>
    <row r="18" spans="3:5" x14ac:dyDescent="0.3">
      <c r="C18" s="64" t="s">
        <v>38</v>
      </c>
      <c r="D18" s="65" t="s">
        <v>39</v>
      </c>
      <c r="E18" s="65" t="s">
        <v>4</v>
      </c>
    </row>
    <row r="19" spans="3:5" x14ac:dyDescent="0.3">
      <c r="C19" s="64" t="s">
        <v>41</v>
      </c>
      <c r="D19" s="65" t="s">
        <v>40</v>
      </c>
      <c r="E19" s="65" t="s">
        <v>1</v>
      </c>
    </row>
    <row r="20" spans="3:5" x14ac:dyDescent="0.3">
      <c r="C20" s="64" t="s">
        <v>42</v>
      </c>
      <c r="D20" s="65" t="s">
        <v>43</v>
      </c>
      <c r="E20" s="65" t="s">
        <v>9</v>
      </c>
    </row>
    <row r="21" spans="3:5" x14ac:dyDescent="0.3">
      <c r="C21" s="64" t="s">
        <v>44</v>
      </c>
      <c r="D21" s="65" t="s">
        <v>46</v>
      </c>
      <c r="E21" s="65" t="s">
        <v>0</v>
      </c>
    </row>
    <row r="22" spans="3:5" x14ac:dyDescent="0.3">
      <c r="C22" s="64" t="s">
        <v>45</v>
      </c>
      <c r="D22" s="65" t="s">
        <v>178</v>
      </c>
      <c r="E22" s="65" t="s">
        <v>185</v>
      </c>
    </row>
    <row r="23" spans="3:5" x14ac:dyDescent="0.3">
      <c r="C23" s="64" t="s">
        <v>47</v>
      </c>
      <c r="D23" s="65" t="s">
        <v>48</v>
      </c>
      <c r="E23" s="65" t="s">
        <v>49</v>
      </c>
    </row>
    <row r="24" spans="3:5" x14ac:dyDescent="0.3">
      <c r="C24" s="64" t="s">
        <v>162</v>
      </c>
      <c r="D24" s="65" t="s">
        <v>167</v>
      </c>
      <c r="E24" s="65" t="s">
        <v>164</v>
      </c>
    </row>
    <row r="25" spans="3:5" x14ac:dyDescent="0.3">
      <c r="C25" s="64" t="s">
        <v>163</v>
      </c>
      <c r="D25" s="65" t="s">
        <v>166</v>
      </c>
      <c r="E25" s="65" t="s">
        <v>165</v>
      </c>
    </row>
    <row r="26" spans="3:5" x14ac:dyDescent="0.3">
      <c r="C26" s="64" t="s">
        <v>53</v>
      </c>
      <c r="D26" s="65" t="s">
        <v>60</v>
      </c>
      <c r="E26" s="65" t="s">
        <v>67</v>
      </c>
    </row>
    <row r="27" spans="3:5" x14ac:dyDescent="0.3">
      <c r="C27" s="64" t="s">
        <v>54</v>
      </c>
      <c r="D27" s="65" t="s">
        <v>61</v>
      </c>
      <c r="E27" s="65" t="s">
        <v>68</v>
      </c>
    </row>
    <row r="28" spans="3:5" x14ac:dyDescent="0.3">
      <c r="C28" s="64" t="s">
        <v>55</v>
      </c>
      <c r="D28" s="65" t="s">
        <v>62</v>
      </c>
      <c r="E28" s="65" t="s">
        <v>69</v>
      </c>
    </row>
    <row r="29" spans="3:5" x14ac:dyDescent="0.3">
      <c r="C29" s="64" t="s">
        <v>56</v>
      </c>
      <c r="D29" s="65" t="s">
        <v>63</v>
      </c>
      <c r="E29" s="65" t="s">
        <v>70</v>
      </c>
    </row>
    <row r="30" spans="3:5" x14ac:dyDescent="0.3">
      <c r="C30" s="64" t="s">
        <v>57</v>
      </c>
      <c r="D30" s="65" t="s">
        <v>64</v>
      </c>
      <c r="E30" s="65" t="s">
        <v>71</v>
      </c>
    </row>
    <row r="31" spans="3:5" x14ac:dyDescent="0.3">
      <c r="C31" s="64" t="s">
        <v>58</v>
      </c>
      <c r="D31" s="65" t="s">
        <v>65</v>
      </c>
      <c r="E31" s="65" t="s">
        <v>72</v>
      </c>
    </row>
    <row r="32" spans="3:5" x14ac:dyDescent="0.3">
      <c r="C32" s="64" t="s">
        <v>59</v>
      </c>
      <c r="D32" s="65" t="s">
        <v>66</v>
      </c>
      <c r="E32" s="65" t="s">
        <v>73</v>
      </c>
    </row>
    <row r="33" spans="3:5" x14ac:dyDescent="0.3">
      <c r="C33" s="64" t="s">
        <v>90</v>
      </c>
      <c r="D33" s="65" t="s">
        <v>95</v>
      </c>
      <c r="E33" s="65" t="s">
        <v>2</v>
      </c>
    </row>
    <row r="34" spans="3:5" ht="28.8" x14ac:dyDescent="0.3">
      <c r="C34" s="64" t="s">
        <v>91</v>
      </c>
      <c r="D34" s="65" t="s">
        <v>96</v>
      </c>
      <c r="E34" s="65" t="s">
        <v>93</v>
      </c>
    </row>
    <row r="35" spans="3:5" ht="43.2" x14ac:dyDescent="0.3">
      <c r="C35" s="64" t="s">
        <v>92</v>
      </c>
      <c r="D35" s="65" t="s">
        <v>98</v>
      </c>
      <c r="E35" s="65" t="s">
        <v>94</v>
      </c>
    </row>
    <row r="36" spans="3:5" x14ac:dyDescent="0.3">
      <c r="C36" s="64" t="s">
        <v>99</v>
      </c>
      <c r="D36" s="65" t="s">
        <v>101</v>
      </c>
      <c r="E36" s="65" t="s">
        <v>100</v>
      </c>
    </row>
    <row r="37" spans="3:5" x14ac:dyDescent="0.3">
      <c r="C37" s="64" t="s">
        <v>102</v>
      </c>
      <c r="D37" s="65" t="s">
        <v>103</v>
      </c>
      <c r="E37" s="65" t="s">
        <v>3</v>
      </c>
    </row>
    <row r="38" spans="3:5" x14ac:dyDescent="0.3">
      <c r="C38" s="64" t="s">
        <v>104</v>
      </c>
      <c r="D38" s="65" t="s">
        <v>43</v>
      </c>
      <c r="E38" s="65" t="s">
        <v>106</v>
      </c>
    </row>
    <row r="39" spans="3:5" x14ac:dyDescent="0.3">
      <c r="C39" s="64" t="s">
        <v>105</v>
      </c>
      <c r="D39" s="65" t="s">
        <v>108</v>
      </c>
      <c r="E39" s="65" t="s">
        <v>107</v>
      </c>
    </row>
    <row r="40" spans="3:5" x14ac:dyDescent="0.3">
      <c r="C40" s="64" t="s">
        <v>113</v>
      </c>
      <c r="D40" s="65" t="s">
        <v>109</v>
      </c>
      <c r="E40" s="65" t="s">
        <v>5</v>
      </c>
    </row>
    <row r="41" spans="3:5" ht="28.8" x14ac:dyDescent="0.3">
      <c r="C41" s="64" t="s">
        <v>115</v>
      </c>
      <c r="D41" s="65" t="s">
        <v>116</v>
      </c>
      <c r="E41" s="65" t="s">
        <v>114</v>
      </c>
    </row>
    <row r="42" spans="3:5" x14ac:dyDescent="0.3">
      <c r="C42" s="64" t="s">
        <v>112</v>
      </c>
      <c r="D42" s="65" t="s">
        <v>110</v>
      </c>
      <c r="E42" s="65" t="s">
        <v>6</v>
      </c>
    </row>
    <row r="43" spans="3:5" x14ac:dyDescent="0.3">
      <c r="C43" s="64" t="s">
        <v>112</v>
      </c>
      <c r="D43" s="65" t="s">
        <v>111</v>
      </c>
      <c r="E43" s="65" t="s">
        <v>7</v>
      </c>
    </row>
    <row r="44" spans="3:5" x14ac:dyDescent="0.3">
      <c r="C44" s="64" t="s">
        <v>117</v>
      </c>
      <c r="D44" s="65" t="s">
        <v>118</v>
      </c>
      <c r="E44" s="65" t="s">
        <v>8</v>
      </c>
    </row>
    <row r="45" spans="3:5" x14ac:dyDescent="0.3">
      <c r="C45" s="64" t="s">
        <v>119</v>
      </c>
      <c r="D45" s="65" t="s">
        <v>123</v>
      </c>
      <c r="E45" s="65" t="s">
        <v>121</v>
      </c>
    </row>
    <row r="46" spans="3:5" x14ac:dyDescent="0.3">
      <c r="C46" s="64" t="s">
        <v>120</v>
      </c>
      <c r="D46" s="65" t="s">
        <v>124</v>
      </c>
      <c r="E46" s="65" t="s">
        <v>122</v>
      </c>
    </row>
    <row r="47" spans="3:5" x14ac:dyDescent="0.3">
      <c r="C47" s="64" t="s">
        <v>125</v>
      </c>
      <c r="D47" s="65" t="s">
        <v>131</v>
      </c>
      <c r="E47" s="65" t="s">
        <v>19</v>
      </c>
    </row>
    <row r="48" spans="3:5" x14ac:dyDescent="0.3">
      <c r="C48" s="64" t="s">
        <v>126</v>
      </c>
      <c r="D48" s="65" t="s">
        <v>129</v>
      </c>
      <c r="E48" s="65" t="s">
        <v>20</v>
      </c>
    </row>
    <row r="49" spans="3:5" x14ac:dyDescent="0.3">
      <c r="C49" s="64" t="s">
        <v>127</v>
      </c>
      <c r="D49" s="65" t="s">
        <v>130</v>
      </c>
      <c r="E49" s="65" t="s">
        <v>128</v>
      </c>
    </row>
    <row r="50" spans="3:5" x14ac:dyDescent="0.3">
      <c r="C50" s="64" t="s">
        <v>132</v>
      </c>
      <c r="D50" s="65" t="s">
        <v>133</v>
      </c>
      <c r="E50" s="65" t="s">
        <v>87</v>
      </c>
    </row>
    <row r="51" spans="3:5" x14ac:dyDescent="0.3">
      <c r="C51" s="64" t="s">
        <v>134</v>
      </c>
      <c r="D51" s="65" t="s">
        <v>135</v>
      </c>
      <c r="E51" s="65" t="s">
        <v>136</v>
      </c>
    </row>
    <row r="52" spans="3:5" x14ac:dyDescent="0.3">
      <c r="C52" s="64" t="s">
        <v>137</v>
      </c>
      <c r="D52" s="65" t="s">
        <v>138</v>
      </c>
      <c r="E52" s="65" t="s">
        <v>15</v>
      </c>
    </row>
    <row r="53" spans="3:5" x14ac:dyDescent="0.3">
      <c r="C53" s="64" t="s">
        <v>141</v>
      </c>
      <c r="D53" s="65" t="s">
        <v>142</v>
      </c>
      <c r="E53" s="65" t="s">
        <v>140</v>
      </c>
    </row>
    <row r="54" spans="3:5" x14ac:dyDescent="0.3">
      <c r="C54" s="64" t="s">
        <v>143</v>
      </c>
      <c r="D54" s="65" t="s">
        <v>146</v>
      </c>
      <c r="E54" s="65" t="s">
        <v>145</v>
      </c>
    </row>
    <row r="55" spans="3:5" ht="28.8" x14ac:dyDescent="0.3">
      <c r="C55" s="64" t="s">
        <v>144</v>
      </c>
      <c r="D55" s="65" t="str">
        <f>"Please enter the Meeting mode unlock password" &amp; CHAR(10) &amp; "(Default: 1234) "</f>
        <v xml:space="preserve">Please enter the Meeting mode unlock password
(Default: 1234) </v>
      </c>
      <c r="E55" s="65" t="str">
        <f>"請輸入您所設定的會議模式解鎖密碼" &amp;CHAR(10) &amp; "(預設：1234)"</f>
        <v>請輸入您所設定的會議模式解鎖密碼
(預設：1234)</v>
      </c>
    </row>
    <row r="56" spans="3:5" x14ac:dyDescent="0.3">
      <c r="C56" s="64" t="s">
        <v>147</v>
      </c>
      <c r="D56" s="65" t="s">
        <v>149</v>
      </c>
      <c r="E56" s="65" t="s">
        <v>148</v>
      </c>
    </row>
    <row r="57" spans="3:5" x14ac:dyDescent="0.3">
      <c r="C57" s="64" t="s">
        <v>150</v>
      </c>
      <c r="D57" s="65" t="s">
        <v>151</v>
      </c>
      <c r="E57" s="65" t="s">
        <v>152</v>
      </c>
    </row>
    <row r="58" spans="3:5" ht="43.2" x14ac:dyDescent="0.3">
      <c r="C58" s="64" t="s">
        <v>153</v>
      </c>
      <c r="D58" s="65" t="str">
        <f>"Once meeting mode is enabled, you must enter the correct password to unlock!" &amp; CHAR(10) &amp; "Enable it now?"</f>
        <v>Once meeting mode is enabled, you must enter the correct password to unlock!
Enable it now?</v>
      </c>
      <c r="E58" s="65" t="str">
        <f>"一旦啟用會議模式，必須輸入正確密碼才能解鎖！" &amp; CHAR(10) &amp; "立即啟用？"</f>
        <v>一旦啟用會議模式，必須輸入正確密碼才能解鎖！
立即啟用？</v>
      </c>
    </row>
    <row r="59" spans="3:5" x14ac:dyDescent="0.3">
      <c r="C59" s="64" t="s">
        <v>154</v>
      </c>
      <c r="D59" s="65" t="s">
        <v>158</v>
      </c>
      <c r="E59" s="65" t="s">
        <v>157</v>
      </c>
    </row>
    <row r="60" spans="3:5" x14ac:dyDescent="0.3">
      <c r="C60" s="64" t="s">
        <v>155</v>
      </c>
      <c r="D60" s="65" t="s">
        <v>160</v>
      </c>
      <c r="E60" s="65" t="s">
        <v>156</v>
      </c>
    </row>
    <row r="61" spans="3:5" x14ac:dyDescent="0.3">
      <c r="C61" s="64" t="s">
        <v>159</v>
      </c>
      <c r="D61" s="65" t="s">
        <v>161</v>
      </c>
      <c r="E61" s="65" t="s">
        <v>140</v>
      </c>
    </row>
    <row r="62" spans="3:5" x14ac:dyDescent="0.3">
      <c r="C62" s="64" t="s">
        <v>168</v>
      </c>
      <c r="D62" s="65" t="s">
        <v>172</v>
      </c>
      <c r="E62" s="65" t="s">
        <v>170</v>
      </c>
    </row>
    <row r="63" spans="3:5" x14ac:dyDescent="0.3">
      <c r="C63" s="64" t="s">
        <v>169</v>
      </c>
      <c r="D63" s="65" t="s">
        <v>173</v>
      </c>
      <c r="E63" s="65" t="s">
        <v>171</v>
      </c>
    </row>
    <row r="64" spans="3:5" x14ac:dyDescent="0.3">
      <c r="C64" s="64" t="s">
        <v>176</v>
      </c>
      <c r="D64" s="65" t="s">
        <v>177</v>
      </c>
      <c r="E64" s="65" t="s">
        <v>176</v>
      </c>
    </row>
    <row r="65" spans="3:5" x14ac:dyDescent="0.3">
      <c r="C65" s="64" t="s">
        <v>179</v>
      </c>
      <c r="D65" s="65" t="s">
        <v>183</v>
      </c>
      <c r="E65" s="65" t="s">
        <v>181</v>
      </c>
    </row>
    <row r="66" spans="3:5" x14ac:dyDescent="0.3">
      <c r="C66" s="64" t="s">
        <v>180</v>
      </c>
      <c r="D66" s="65" t="s">
        <v>184</v>
      </c>
      <c r="E66" s="65" t="s">
        <v>182</v>
      </c>
    </row>
    <row r="67" spans="3:5" x14ac:dyDescent="0.3">
      <c r="C67" s="64" t="s">
        <v>189</v>
      </c>
      <c r="D67" s="65" t="s">
        <v>190</v>
      </c>
      <c r="E67" s="65" t="s">
        <v>189</v>
      </c>
    </row>
  </sheetData>
  <sheetProtection algorithmName="SHA-512" hashValue="zJ2mtY4yHsXlU7KO2AXntugE6kj8Uo29ENuZHNe1oF7YNJg8vhnUZHgZ9JwWEsQPAoJ7DUUL0mTN8W3tuEVoJA==" saltValue="gOqDe7+geU39KWrbdpbPCA==" spinCount="100000" sheet="1" objects="1" scenarios="1" selectLockedCells="1"/>
  <mergeCells count="4">
    <mergeCell ref="A2:B2"/>
    <mergeCell ref="C2:E2"/>
    <mergeCell ref="A1:B1"/>
    <mergeCell ref="C1:D1"/>
  </mergeCells>
  <phoneticPr fontId="2" type="noConversion"/>
  <dataValidations count="4">
    <dataValidation type="list" allowBlank="1" showInputMessage="1" showErrorMessage="1" promptTitle="●工作日設定說明：" prompt=" Yes：排除六日；No：所有日期皆為工作日。" sqref="B5" xr:uid="{00000000-0002-0000-0300-000000000000}">
      <formula1>"Yes,No"</formula1>
    </dataValidation>
    <dataValidation type="list" allowBlank="1" showInputMessage="1" showErrorMessage="1" sqref="B4" xr:uid="{00000000-0002-0000-0300-000001000000}">
      <formula1>"繁體中文,English"</formula1>
    </dataValidation>
    <dataValidation type="list" allowBlank="1" showErrorMessage="1" sqref="B7" xr:uid="{00000000-0002-0000-0300-000002000000}">
      <formula1>"Yes,No"</formula1>
    </dataValidation>
    <dataValidation type="list" allowBlank="1" showInputMessage="1" showErrorMessage="1" promptTitle="●甘特圖判定方式說明：" prompt="Mode1：輸入「預估工時」，自動計算「預估完成日」。_x000a_Mode2：輸入「預估完成日」，自動計算「預估工時」。" sqref="B6" xr:uid="{00000000-0002-0000-0300-000003000000}">
      <formula1>"1,2"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28" r:id="rId4" name="meeting mode">
              <controlPr defaultSize="0" print="0" autoFill="0" autoPict="0" macro="[0]!Meeting_mode_check">
                <anchor moveWithCells="1" sizeWithCells="1">
                  <from>
                    <xdr:col>0</xdr:col>
                    <xdr:colOff>175260</xdr:colOff>
                    <xdr:row>7</xdr:row>
                    <xdr:rowOff>30480</xdr:rowOff>
                  </from>
                  <to>
                    <xdr:col>1</xdr:col>
                    <xdr:colOff>1165860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具名範圍</vt:lpstr>
      </vt:variant>
      <vt:variant>
        <vt:i4>3</vt:i4>
      </vt:variant>
    </vt:vector>
  </HeadingPairs>
  <TitlesOfParts>
    <vt:vector size="7" baseType="lpstr">
      <vt:lpstr>時程表</vt:lpstr>
      <vt:lpstr>組織人員設定</vt:lpstr>
      <vt:lpstr>假日補班設定</vt:lpstr>
      <vt:lpstr>Setup</vt:lpstr>
      <vt:lpstr>Language</vt:lpstr>
      <vt:lpstr>時程表!Print_Titles</vt:lpstr>
      <vt:lpstr>工作日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Antony Liaw</dc:creator>
  <cp:lastModifiedBy>（Kelly）Aki Akikitamura</cp:lastModifiedBy>
  <cp:lastPrinted>2018-02-21T03:36:41Z</cp:lastPrinted>
  <dcterms:created xsi:type="dcterms:W3CDTF">2017-08-09T03:04:44Z</dcterms:created>
  <dcterms:modified xsi:type="dcterms:W3CDTF">2023-03-08T01:29:30Z</dcterms:modified>
</cp:coreProperties>
</file>